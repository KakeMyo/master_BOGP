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1c8789355e438a" /></Relationships>
</file>

<file path=xl/workbook.xml><?xml version="1.0" encoding="utf-8"?>
<x:workbook xmlns:x="http://schemas.openxmlformats.org/spreadsheetml/2006/main">
  <x:sheets>
    <x:sheet xmlns:r="http://schemas.openxmlformats.org/officeDocument/2006/relationships" name="はじめにご確認ください）記入にあたっての留意事項" sheetId="1" r:id="Re21e355b6c144d5d"/>
    <x:sheet xmlns:r="http://schemas.openxmlformats.org/officeDocument/2006/relationships" name="参考）府省共通経費取扱区分表" sheetId="2" r:id="R48ea82759a8d4fb7"/>
    <x:sheet xmlns:r="http://schemas.openxmlformats.org/officeDocument/2006/relationships" name="研究計画調書_1枚目" sheetId="3" r:id="R819c48217da24d41"/>
    <x:sheet xmlns:r="http://schemas.openxmlformats.org/officeDocument/2006/relationships" name="研究計画調書_2枚目" sheetId="4" r:id="R2015cadaca0140bd"/>
    <x:sheet xmlns:r="http://schemas.openxmlformats.org/officeDocument/2006/relationships" name="研究計画調書_3枚目" sheetId="5" r:id="R5312ac2389e244b0"/>
    <x:sheet xmlns:r="http://schemas.openxmlformats.org/officeDocument/2006/relationships" name="研究計画調書_4枚目" sheetId="6" r:id="Rbe6252c61dbe48b3"/>
    <x:sheet xmlns:r="http://schemas.openxmlformats.org/officeDocument/2006/relationships" name="研究計画調書_5枚目" sheetId="7" r:id="R0d7d0293b4354105"/>
    <x:sheet xmlns:r="http://schemas.openxmlformats.org/officeDocument/2006/relationships" name="リスト" sheetId="8" r:id="Re5fa80e8f7ad4b7b"/>
  </x:sheets>
</x:workbook>
</file>

<file path=xl/sharedStrings.xml><?xml version="1.0" encoding="utf-8"?>
<x:sst xmlns:x="http://schemas.openxmlformats.org/spreadsheetml/2006/main">
  <x:si>
    <x:t xml:space="preserve">No</x:t>
  </x:si>
  <x:si>
    <x:t xml:space="preserve">項目コウモク</x:t>
  </x:si>
  <x:si>
    <x:t xml:space="preserve">留意事項リュウイジコウ</x:t>
  </x:si>
  <x:si>
    <x:t xml:space="preserve">入力内容の確認について</x:t>
  </x:si>
  <x:si>
    <x:t xml:space="preserve">未入力のセルは薄いオレンジ色で表示されています。提出前に、記入が必要な箇所について、薄いオレンジのセルが解消されているか必ず確認してください。
※薄いオレンジ色のセルは未入力箇所を示していますが、すべての項目が記入必須ではありません。該当しない項目や入力不要な項目については、無理に記入する必要はありません。</x:t>
  </x:si>
  <x:si>
    <x:t xml:space="preserve">文字数制限の確認について</x:t>
  </x:si>
  <x:si>
    <x:t xml:space="preserve">文字数制限のある項目は、文字数カウントを必ず確認のうえ、規定の文字数範囲内に収めてください。
文字数制限に対して超過/不足している場合、書類不備として「不受理」扱いとなることがございますので、ご留意ください。
 ★上限超過の場合：文字数カウントが赤字で表示されます
 ★下限不足の場合：セルの薄いオレンジ色が解消されませんモジスウセイゲンタイチョウカフソクバアイショルイフビフジュリアツカリュウイウス</x:t>
  </x:si>
  <x:si>
    <x:t xml:space="preserve">調書の構成について</x:t>
  </x:si>
  <x:si>
    <x:t xml:space="preserve">研究計画調書の構成は下記のとおりです。応募者による記入が必要なタブは、全体で5枚となっております。
・はじめにご確認ください）記入にあたっての留意事項
・参考）府省共通経費取扱区分表
・研究計画調書_1枚目：基本情報
・研究計画調書_2枚目：研究目的、研究方法等
・研究計画調書_3枚目：研究経費の内訳
・研究計画調書_4枚目：API・計算資源の算定根拠の詳細　※必要な場合のみ記入
・研究計画調書_5枚目：AIインタビュー実施完了報告書(スクリーンショット)
※「リスト」タブは、閲覧不要で一切の編集が不可となっております。</x:t>
  </x:si>
  <x:si>
    <x:t xml:space="preserve">様式（フォーマット）の取扱いについて</x:t>
  </x:si>
  <x:si>
    <x:t xml:space="preserve">調書は入力項目以外の編集が制限されています。レイアウト・書式の変更は行わないでください。
3枚目のみ、行の追加が可能です（必要な場合に限る）。</x:t>
  </x:si>
  <x:si>
    <x:t xml:space="preserve">研究計画調書のファイル名についてケンキュウケイカクチョウショメイ</x:t>
  </x:si>
  <x:si>
    <x:t xml:space="preserve">本ファイルのファイル名「様式１＿研究計画調書＿e-Rad所属機関コード＿ローマ字氏名」のうち、「e-Rad所属機関コード」「ローマ字氏名」をご自身の情報に更新ください。e-Rad所属機関コードは半角数字、ローマ字氏名は半角英字で姓名の順で記載ください。</x:t>
  </x:si>
  <x:si>
    <x:t xml:space="preserve">その他ホカ</x:t>
  </x:si>
  <x:si>
    <x:t xml:space="preserve">研究領域およびユースケースの定義については、下記に提示する情報を参照のうえ、ご自身の該当のものを選択してください。
また研究経費については、下部の「府省共通経費取扱区分表について」および別タブの「参考）府省共通経費取扱区分表」を参照しご記載ください。カキジョウホウジシンガイトウセンタクケンキュウケイヒシタブベツサンコウフショウキョウツウケイヒトリアツカクブンヒョウサンショウキサイ</x:t>
  </x:si>
  <x:si>
    <x:t xml:space="preserve">【参考：研究領域分類】サンコウケンキュウリョウイキブンルイ</x:t>
  </x:si>
  <x:si>
    <x:t xml:space="preserve">研究領域ケンキュウリョウイキ</x:t>
  </x:si>
  <x:si>
    <x:t xml:space="preserve">定義テイギ</x:t>
  </x:si>
  <x:si>
    <x:t xml:space="preserve">研究分野（例）</x:t>
  </x:si>
  <x:si>
    <x:t xml:space="preserve">臨床科学</x:t>
  </x:si>
  <x:si>
    <x:t xml:space="preserve">疾患の診断・治療・予防・予後改善を目的に、患者・集団・医療現場を対象として知見を創出・検証する研究領域。</x:t>
  </x:si>
  <x:si>
    <x:t xml:space="preserve">内科医学、臓器別内科・生体情報医学、外科医学、機能・感覚系外科、口腔科学、社会医学・看護学、スポーツ科学、獣医学　等</x:t>
  </x:si>
  <x:si>
    <x:t xml:space="preserve">生命科学・薬学</x:t>
  </x:si>
  <x:si>
    <x:t xml:space="preserve">生命現象を分子・細胞・個体レベルで解明し、創薬・薬理・生体制御へ展開する研究領域。</x:t>
  </x:si>
  <x:si>
    <x:t xml:space="preserve">細胞生物学、進化生物学、神経科学、薬学、生体構造・機能学、病理学、腫瘍学、脳科学　等</x:t>
  </x:si>
  <x:si>
    <x:t xml:space="preserve">化学</x:t>
  </x:si>
  <x:si>
    <x:t xml:space="preserve">原子・分子・物質の構造、反応、物性、合成、変換を扱い、新物質・新機能を創出する研究領域。</x:t>
  </x:si>
  <x:si>
    <x:t xml:space="preserve">物理化学、有機化学、無機・錯体・分析化学、高分子・有機材料額、無機材料・エネルギー化学、生体分子化学　等</x:t>
  </x:si>
  <x:si>
    <x:t xml:space="preserve">機械・社会基盤・エネルギー工学</x:t>
  </x:si>
  <x:si>
    <x:t xml:space="preserve">機械、構造、流体・熱、移動体、建築・土木、社会基盤、安全・防災、エネルギーシステムを対象に、設計・制御・実装を行う研究領域。</x:t>
  </x:si>
  <x:si>
    <x:t xml:space="preserve">材料力学・設計・生産工学、流体・熱工学、機械力学・ロボティクス、土木工学、建築学、航空宇宙・海洋工学、社会システム・防災工学、エネルギー・資源工学　等</x:t>
  </x:si>
  <x:si>
    <x:t xml:space="preserve">材料・プロセス・応用医工学</x:t>
  </x:si>
  <x:si>
    <x:t xml:space="preserve">材料、界面、プロセス、ナノスケール構造、応用物性、生体適合技術を対象に、機能創出と応用実装を進める研究領域。
</x:t>
  </x:si>
  <x:si>
    <x:t xml:space="preserve">材料工学、化学工学、ナノ・マイクロ科学、応用物性、人間医工学　等</x:t>
  </x:si>
  <x:si>
    <x:t xml:space="preserve">電気工学・電子工学・情報科学・コンピューターサイエンス</x:t>
  </x:si>
  <x:si>
    <x:t xml:space="preserve">電気・電子・光・制御・計測・通信・デバイスや、計算、ソフトウェア、データ、ネットワーク、知能情報処理を扱う研究領域。</x:t>
  </x:si>
  <x:si>
    <x:t xml:space="preserve">電気電子工学、応用物理・デバイス工学、情報科学・情報工学、人間情報・応用情報　等</x:t>
  </x:si>
  <x:si>
    <x:t xml:space="preserve">数学・物理学・地球科学</x:t>
  </x:si>
  <x:si>
    <x:t xml:space="preserve">数理構造、自然法則、地球・宇宙システムの基礎原理を理論・観測・実験・解析で解明する研究領域。</x:t>
  </x:si>
  <x:si>
    <x:t xml:space="preserve">代数・幾何学、解析・応用数学、物性物理学、宇宙物理学、天文学、地球惑星科学　等</x:t>
  </x:si>
  <x:si>
    <x:t xml:space="preserve">農学・環境学・生態学</x:t>
  </x:si>
  <x:si>
    <x:t xml:space="preserve">生物資源、農業生産、食料、環境保全、生態系維持を扱う研究領域。</x:t>
  </x:si>
  <x:si>
    <x:t xml:space="preserve">農芸化学、生産環境農学、森林・水圏科学、農業工学・農業経済、環境評価・環境保全　等</x:t>
  </x:si>
  <x:si>
    <x:t xml:space="preserve">社会科学</x:t>
  </x:si>
  <x:si>
    <x:t xml:space="preserve">人間の行動、制度、組織、市場、政策、社会構造を理論的・実証的に分析する研究領域。</x:t>
  </x:si>
  <x:si>
    <x:t xml:space="preserve">文化人類学、法制度、政治学、経済・経営学、社会学、教育学、心理学　等</x:t>
  </x:si>
  <x:si>
    <x:t xml:space="preserve">芸術・人文科学</x:t>
  </x:si>
  <x:si>
    <x:t xml:space="preserve">文化、歴史、思想、言語、表現、価値形成を解釈・批評・史資料分析により探究する研究領域。</x:t>
  </x:si>
  <x:si>
    <x:t xml:space="preserve">哲学、芸術学、文学・言語、歴史学、考古学　等</x:t>
  </x:si>
  <x:si>
    <x:t xml:space="preserve">【参考：ユースケース分類】サンコウブンルイ</x:t>
  </x:si>
  <x:si>
    <x:t xml:space="preserve">開発／利用</x:t>
  </x:si>
  <x:si>
    <x:t xml:space="preserve">ユースケースの分類</x:t>
  </x:si>
  <x:si>
    <x:t xml:space="preserve">定義・判断基準</x:t>
  </x:si>
  <x:si>
    <x:t xml:space="preserve">具体イメージ</x:t>
  </x:si>
  <x:si>
    <x:t xml:space="preserve">開発</x:t>
  </x:si>
  <x:si>
    <x:t xml:space="preserve">学習用データセット構築</x:t>
  </x:si>
  <x:si>
    <x:t xml:space="preserve">今後のAI・深層学習での活用を前提としたデータ収集や加工の過程が主である場合は本ユースケースに該当（実験やフィールドワーク等によるデータ収集も含む）</x:t>
  </x:si>
  <x:si>
    <x:t xml:space="preserve">・古文書のデジタイズ・前処理・メタデータ整備により「AI ready」に
・化学における機械学習ポテンシャル開発のため学習データセット整備</x:t>
  </x:si>
  <x:si>
    <x:t xml:space="preserve">既存モデルの適応</x:t>
  </x:si>
  <x:si>
    <x:t xml:space="preserve">既存の基盤モデルを、事後学習・ファインチューニングにより、軽量化・高速化・最適化することが主な場合は本ユースケースに該当（学習を伴わないRAGの構築などは、本ユースケースでなく、「利用」が該当）コウチク</x:t>
  </x:si>
  <x:si>
    <x:t xml:space="preserve">・基盤モデルをファインチューニングし、多様な科学文書から半導体材料に関わる情報を抽出・構造化して整理するモデルを開発
・基盤LLMをベースに、低コストで運用しやすい小規模なモデルを開発​</x:t>
  </x:si>
  <x:si>
    <x:t xml:space="preserve">AIモデル開発</x:t>
  </x:si>
  <x:si>
    <x:t xml:space="preserve">自らモデル構築し、データ収集・事前学習・微調整・検証・評価の一連のサイクルが全て含まれる場合は本ユースケースに該当（大規模言語モデルに限らず、深層学習を活用した研究を含む）</x:t>
  </x:si>
  <x:si>
    <x:t xml:space="preserve">・生物実験のスケジュールや自動化できる小規模AIモデルの開発
・流体方程式を組み込んだ物理系のAIシミュレーションの開発​
・素粒子加速実験におけるジェット分類を行う深層学習モデル開発​</x:t>
  </x:si>
  <x:si>
    <x:t xml:space="preserve">既存モデル評価</x:t>
  </x:si>
  <x:si>
    <x:t xml:space="preserve">既存モデルの「検証・評価・改善」を主目的としている研究は本ユースケースに該当。AIの改善を目的としていれば、仕組みの理解（例：プロービング）の研究も本ユースケースに該当</x:t>
  </x:si>
  <x:si>
    <x:t xml:space="preserve">・注意機構を分析することにより、ハルシネーションの少ないAIを開発するための示唆を抽出
・"LLM-as-a-judge" の信頼性向上にむけた研究</x:t>
  </x:si>
  <x:si>
    <x:t xml:space="preserve">利用</x:t>
  </x:si>
  <x:si>
    <x:t xml:space="preserve">実験自動化・自律化</x:t>
  </x:si>
  <x:si>
    <x:t xml:space="preserve">物理的な実験装置・ロボット・機械等の接続が含まれる場合は本ユースケースに該当 (ただし、本事業期間中はコード開発等に留まり、実際の器具等を扱わない場合、本ユースケースでなく、他の分類から最適なものを選択)​</x:t>
  </x:si>
  <x:si>
    <x:t xml:space="preserve">・カメラと連携し、作物の病気の予兆を検出するAIカメラの開発
・ロボアームと連携し、小規模な実験を自立的に遂行するAI開発ジリツ</x:t>
  </x:si>
  <x:si>
    <x:t xml:space="preserve">シミュレーション・デジタルツイン</x:t>
  </x:si>
  <x:si>
    <x:t xml:space="preserve">既存のAIを利用(※)が主で、現時点では「実際の実験・観測」による研究が必要なプロセスを、シミュレーション・デジタルツインにより代替することを企図する研究が該当（スクラッチでのモデル開発の場合は「AIモデル開発」に該当）キト</x:t>
  </x:si>
  <x:si>
    <x:t xml:space="preserve">・言語獲得の過程を、LLMを人間に見立てシミュレーションする研究
・AIエージェントを用いることで「社会」をシミュレーション研究​
・バーチャル臓器による臨床試験のプロトタイプを開発​</x:t>
  </x:si>
  <x:si>
    <x:t xml:space="preserve">発見・設計支援</x:t>
  </x:si>
  <x:si>
    <x:t xml:space="preserve">既存のAIを利用(※)が主で、仮説生成から実験計画など、「実際の実験・解析」などに至る前段階のプロセスをAIにより効率化・自立化する場合が該当ジリツ</x:t>
  </x:si>
  <x:si>
    <x:t xml:space="preserve">・既存AIを活用し、産業動向等を踏まえつつ研究ネクストステップの仮説や産学連携の案を提示するシステムを開発
・材料設計において、実験前の段階で筋の良い材料探索をAIで実施​</x:t>
  </x:si>
  <x:si>
    <x:t xml:space="preserve">高度データ解析・モデリング</x:t>
  </x:si>
  <x:si>
    <x:t xml:space="preserve">既存のAIを利用(※)が主で、（シミュレーション・デジタルツインに該当するもの以外で）データ分析・予測の高度化をはかる研究が広く該当（ただし、自ら一連のモデル構築を行う研究は「AIモデル開発」に該当）</x:t>
  </x:si>
  <x:si>
    <x:t xml:space="preserve">・SNSのデータをリアルタイムにAIにより分析し、社会情勢を可視化
・地震発生の長期予測モデルに必要なパラメータを、AIを活用し推定</x:t>
  </x:si>
  <x:si>
    <x:t xml:space="preserve">その他</x:t>
  </x:si>
  <x:si>
    <x:t xml:space="preserve">主として理論的な研究や、「Science for AI」に近い研究、また、AIに関するメタサイエンス等、上記に当てはまらないユースケースや研究等 (※可能な限り、上記の分類からご選択ください)</x:t>
  </x:si>
  <x:si>
    <x:t xml:space="preserve">・AIを科学研究に導入することそのものへの、社会的インパクトの分析
・非平衡統計力学の知見を用いてAIの新たなアーキテクチャを理論的に検討</x:t>
  </x:si>
  <x:si>
    <x:t xml:space="preserve">(※) 既存のAIを利用 : ChatGPT等の既存モデルをサービスあるいはAPI経由で利用したり、SaaS・AutoML系のサービス等を利用することを指す​</x:t>
  </x:si>
  <x:si>
    <x:t xml:space="preserve">【府省共通経費取扱区分表について】</x:t>
  </x:si>
  <x:si>
    <x:t xml:space="preserve">１．総論
(1)府省共通経費取扱区分表（以下、「区分表」という。）は、各競争的研究費制度において共通して使用するものであり、以下にその解釈及び運用について確認する。
(2)各制度は、区分表及び本取扱に基づきあらかじめ費目構成を設定し、経費の取扱を明確に示す。
２．費目の設定について
(1)各制度は、区分表に記載された費目の名称を用いるものとする。
(2)経費の種類は、「直接経費」「間接経費」「再委託費・共同実施費」の３種類とする。
(3)「直接経費」には、「大項目」を設け、大項目にはさらに「中項目」を設ける。
(4)「直接経費」の大項目は、「物品費」「人件費・謝金」「旅費」「その他」の４項目に統一する。
(5)中項目は、以下に統一する。
　・大項目「物品費」の中項目に「設備備品費」「消耗品費」を設定する。
　・大項目「人件費・謝金」の中項目に「人件費」「謝金」を設定する。
　・大項目「旅費」には中項目に「旅費」を設定する。
　・大項目「その他」の中項目に「外注費」「印刷製本費」「会議費」「通信運搬費」「光熱水料」「その他（諸経費）」「消費税相当額」を設定する。
(6)実績報告等は大項目単位によることを原則とし、必要に応じて中項目のうち額の報告を求めるものについては、配分機関は当該区分表の「中項目の設定・取扱等」欄に明記する。また、中項目自体を設定しない場合は、同様に「中項目の設定・取扱等」欄に明記することとする。
３．費目の解釈について
(1)直接経費の各費目、間接経費及び再委託費・共同実施費の解釈を統一するために、区分表に解説（太字下線部分）を記載した。
(2)直接経費の各費目については、研究者等が混乱なく研究費を使用できるように、各制度において共通的なものとして、具体的な支出の例示を区分表に記載した。
４．各制度における区分表の運用について
(1)各制度における事業の性質等により、「中項目の具体的な支出の例示」欄で示した経費のうち、当該中項目の経費とすることが適当でない場合、また、支出にあたり一定の条件を付す場合などには、区分表の「特記事項」欄で明示することとする。
(2)中項目の「設備備品費」「消耗品費」「消費税相当額」は、制度の種類により適用を異にするものであるので、各制度においては、これらの取扱について、区分表の「特記事項」欄で記述することとする。なお委託費における「設備備品費」「消耗品費」の定義は、「中項目の具体的な支出の例示」欄に明瞭に記載することとする。
(3)上記(1)及び(2)により制度としての調整を施された区分表は、例えば各制度のホームページに掲載することなどにより、公開を進めることとする。
(4)区分表は各制度共通に使用するものではあるが、主に企業への資金配分を行っている制度であって、会計処理や経費区分が本区分表と異なる運用をしている研究機関の負担に配慮し、それぞれの研究機関により適切な経費管理が可能となるよう、配分機関は本区分表を参考に費目を設定できることとする。</x:t>
  </x:si>
  <x:si>
    <x:t xml:space="preserve">【費用詳細（API費用・計算資源費用）の記載について】</x:t>
  </x:si>
  <x:si>
    <x:t xml:space="preserve">本欄には、AIの利用に伴う費用の内訳について、項目ごとに整理して記載してください。複数の用途がある場合や、複数種類のGPU等を利用する場合は、用途やGPU等の種類ごとに分けて記載してください。
＜各項目の記載内容　API費用＞
従量課金制のAPI費用については、下記の例を参照して記載してください。なお、従量課金制かどうかにかかわらず、データ取得・照会・連携のためにAPIを利用した場合等についても、適宜記載してください。
■処理対象
処理対象となるデータを記載してください。（例）文献、実験ログ、画像、動画、音声データ
■金額
当該用途に係る費用の合計額を記載してください（千円単位）。
■算定根拠
API費用の見積もり根拠を具体的に記載してください。（含めてほしい観点の例）データ処理に係る量や頻度、再実行率等
＜各項目の記載内容　計算資源費用 (クラウドGPU含む)＞
GPU搭載機器等をオンプレミスで購入するなど、計算資源を物品として取得する場合であって、備品として管理すべきものに該当するときは、「その他（計算資源費用 (クラウドGPU含む)）」ではなく、「設備備品費」に計上してください。
「計算資源費用 (クラウドGPU含む)」とは、物品の購入を伴わない民間クラウドサービスの利用料、GPU搭載機器のリース料・レンタル料等を想定しています。
■GPU種類
利用を想定している計算資源（GPU等）の種類を記載してください。（例）NVIDIA社のA100、V100 等
■当該GPUを選定した理由
利用目的や性能要件等、当該GPUを選定した理由について、簡潔に記載してください。（含めてほしい観点の例）当該研究に求められる処理速度や処理対象となるデータ等
■金額
当該用途に係る費用の合計額を記載してください（千円単位）。
■算定根拠
計算資源（クラウド）の利用料金の見積もり根拠を具体的に記載してください。（含めてほしい観点の例）データ処理に係る量や頻度</x:t>
  </x:si>
  <x:si>
    <x:t xml:space="preserve">府省共通経費取扱区分表</x:t>
  </x:si>
  <x:si>
    <x:t xml:space="preserve">制度・事業名：
AI for Science萌芽的挑戦研究創出事業（SPReAD）</x:t>
  </x:si>
  <x:si>
    <x:t xml:space="preserve">　</x:t>
  </x:si>
  <x:si>
    <x:t xml:space="preserve">大項目</x:t>
  </x:si>
  <x:si>
    <x:t xml:space="preserve">中項目</x:t>
  </x:si>
  <x:si>
    <x:t xml:space="preserve">中項目の具体的な支出の例示</x:t>
  </x:si>
  <x:si>
    <x:t xml:space="preserve">中項目の設定・
取扱等</x:t>
  </x:si>
  <x:si>
    <x:t xml:space="preserve">特記事項</x:t>
  </x:si>
  <x:si>
    <x:t xml:space="preserve">直接経費</x:t>
  </x:si>
  <x:si>
    <x:t xml:space="preserve">物品費</x:t>
  </x:si>
  <x:si>
    <x:t xml:space="preserve">設備備品費</x:t>
  </x:si>
  <x:si>
    <x:t xml:space="preserve">業務・事業の実施に必要な機械装置、工具器具備品等の購入、製造又はその据付等に要する経費。装置等の改造（主として機能を高め、又は耐久性を増すための資本的支出）及びソフトウエア（機器・設備類に組み込まれ、又は付属し、一体として機能するもの）を含む。</x:t>
  </x:si>
  <x:si>
    <x:t xml:space="preserve">GPU搭載サーバ、ワークステーション、研究用ストレージ装置その他これらに類する計算機器を物品として取得する場合であって、備品として管理すべきものは、「設備備品費」に計上してください。</x:t>
  </x:si>
  <x:si>
    <x:t xml:space="preserve">消耗品費</x:t>
  </x:si>
  <x:si>
    <x:r>
      <x:rPr>
        <x:b/>
        <x:u val="single"/>
        <x:sz val="10"/>
        <x:color rgb="FF000000"/>
        <x:rFont val="MS UI Gothic"/>
        <x:family val="3"/>
      </x:rPr>
      <x:t xml:space="preserve">業務・事業の実施に直接要した以下に例示する資材、部品、消耗品等の購入経費。
</x:t>
    </x:r>
    <x:r>
      <x:rPr>
        <x:sz val="10"/>
        <x:color rgb="FF000000"/>
        <x:rFont val="MS UI Gothic"/>
        <x:family val="3"/>
      </x:rPr>
      <x:t xml:space="preserve">　・ソフトウェア　※バージョンアップを含む
　・図書、書籍　※年間購読料を含む
　・パソコン周辺機器、CD-ROM、DVD-ROM等
　・実験動物、試薬、試薬キット、実験器具類
　・試作品
　等</x:t>
    </x:r>
  </x:si>
  <x:si>
    <x:t xml:space="preserve">安価な周辺機器、記録媒体、交換部材その他計算機器を物品として取得する場合で、消耗品として管理すべきものは「消耗品費」として計上してください。</x:t>
  </x:si>
  <x:si>
    <x:t xml:space="preserve">人件費
・謝金</x:t>
  </x:si>
  <x:si>
    <x:t xml:space="preserve">人件費</x:t>
  </x:si>
  <x:si>
    <x:r>
      <x:t xml:space="preserve">業務・事業に直接従事した者の人件費で主体的に研究を担当する研究者の経費</x:t>
    </x:r>
    <x:r>
      <x:rPr>
        <x:sz val="10"/>
        <x:rFont val="MS UI Gothic"/>
        <x:family val="3"/>
      </x:rPr>
      <x:t xml:space="preserve">
　・研究採択者本人の人件費（有給休暇等を含む）及び法定福利費、通勤費、住宅手当、扶養手当、勤務地手当、委託試験に係る退職手当等
　・ポスドク等、機関で直接雇用する研究員の人件費（有給休暇等を含む）及び法定福利費、通勤費、住宅手当、扶養手当、勤務地手当、委託試験に係る退職手当等
　・特殊機器操作、派遣業者からの派遣研究員の費用
　・他機関からの出向研究員の経費
　等
業務・事業に直接従事した者の人件費で補助作業的に研究等を担当する者の経費
　・リサーチアドミニストレーター、リサーチアシスタント
　・研究補助作業を行うアルバイト、パート、派遣社員
　・技術補佐員、教務補佐員、事務補佐員、秘書
　等
＊人件費の算定にあたっては、研究機関の給与規程等によるものとする。</x:t>
    </x:r>
  </x:si>
  <x:si>
    <x:t xml:space="preserve">本事業において人件費の支出は対象外となります。</x:t>
  </x:si>
  <x:si>
    <x:t xml:space="preserve">謝金</x:t>
  </x:si>
  <x:si>
    <x:r>
      <x:rPr>
        <x:b/>
        <x:u val="single"/>
        <x:sz val="10"/>
        <x:color rgb="FF000000"/>
        <x:rFont val="MS UI Gothic"/>
        <x:family val="3"/>
      </x:rPr>
      <x:t xml:space="preserve">業務・事業の実施に必要な知識、情報、技術の提供に対する経費
</x:t>
    </x:r>
    <x:r>
      <x:rPr>
        <x:sz val="10"/>
        <x:color rgb="FF000000"/>
        <x:rFont val="MS UI Gothic"/>
        <x:family val="3"/>
      </x:rPr>
      <x:t xml:space="preserve">　・研究運営委員会等の外部委員に対する委員会出席謝金
　・講演会等の謝金
　・個人の専門的技術による役務の提供への謝金（講義・技術指導・原稿の執筆・査読・校正（外国語等）等）
　・データ・資料整理等の役務の提供への謝金
　・通訳、翻訳の謝金（個人に対する委嘱）
　・学生等への労務による作業代
　・被験者の謝金
　等
＊謝金の算定にあたっては、研究機関の謝金支給規程等によるものとする。</x:t>
    </x:r>
  </x:si>
  <x:si>
    <x:t xml:space="preserve">旅費</x:t>
  </x:si>
  <x:si>
    <x:r>
      <x:t xml:space="preserve">旅費に関わる以下の経費</x:t>
    </x:r>
    <x:r>
      <x:rPr>
        <x:sz val="10"/>
        <x:rFont val="MS UI Gothic"/>
        <x:family val="3"/>
      </x:rPr>
      <x:t xml:space="preserve">
①業務・事業を実施するにあたり研究者及び補助員（学部学生・大学院生を含む）の外国・国内への出張又は移動にかかる経費（交通費、宿泊費、日当、旅行雑費）。学会へ参加するための交通費、宿泊費、日当、旅行雑費を含む。
②上記①以外の業務・事業への協力者に支払う、業務・事業の実施に必要な知識、情報、意見等の収集のための外国・国内への出張又は移動にかかる経費（交通費、宿泊費、日当、旅行雑費）
③外国からの研究者等（大学院生を含む）の招へい経費（交通費、宿泊費、日当、滞在費、旅行雑費）
④研究者等が赴帰任する際にかかる経費（交通費、宿泊費、日当、移転費、扶養親族移転費、旅行雑費）
　等
＊旅費の算定にあたっては、研究機関の旅費規程等によるものとする。
＊旅費のキャンセル料（やむを得ない事情からキャンセル料が認められる場合のみ）を含む。
＊「旅行雑費」とは、「空港使用料」「旅券の交付手数料」「査証手数料」「予防注射料」「出入国税の実費額」「燃油サーチャージ」「航空保険料」「航空券取扱手数料」等をいう。</x:t>
    </x:r>
  </x:si>
  <x:si>
    <x:t xml:space="preserve">外注費</x:t>
  </x:si>
  <x:si>
    <x:r>
      <x:rPr>
        <x:b/>
        <x:u val="single"/>
        <x:sz val="10"/>
        <x:color rgb="FF000000"/>
        <x:rFont val="MS UI Gothic"/>
        <x:family val="3"/>
      </x:rPr>
      <x:t xml:space="preserve">外注に関わる以下の経費
</x:t>
    </x:r>
    <x:r>
      <x:rPr>
        <x:sz val="10"/>
        <x:color rgb="FF000000"/>
        <x:rFont val="MS UI Gothic"/>
        <x:family val="3"/>
      </x:rPr>
      <x:t xml:space="preserve">業務・事業に直接必要な装置のメンテナンス、データの分析等の外注にかかる経費
　・機械装置、備品の操作・保守・修理（原則として当事業で購入した備品の法定点検、定期点検及び日常のメンテナンスによる機能の維持管理、原状の回復等を行うことを含む）等の業務請負
　・実験動物等の飼育、設計（仕様を指示して設計されるもの）、試験、解析・検査、鑑定、部材の加工等の業務請負
　・通訳、翻訳、校正（校閲）、アンケート、調査等の業務請負（業者請負）
　等
＊「再委託費・共同実施費」に該当するものを除く</x:t>
    </x:r>
  </x:si>
  <x:si>
    <x:t xml:space="preserve">印刷製本費</x:t>
  </x:si>
  <x:si>
    <x:r>
      <x:rPr>
        <x:b/>
        <x:u val="single"/>
        <x:sz val="10"/>
        <x:color rgb="FF000000"/>
        <x:rFont val="MS UI Gothic"/>
        <x:family val="3"/>
      </x:rPr>
      <x:t xml:space="preserve">業務・事業にかかる資料等の印刷、製本に要した経費
</x:t>
    </x:r>
    <x:r>
      <x:rPr>
        <x:sz val="10"/>
        <x:color rgb="FF000000"/>
        <x:rFont val="MS UI Gothic"/>
        <x:family val="3"/>
      </x:rPr>
      <x:t xml:space="preserve">　・チラシ、ポスター、写真、図面コピー等研究活動に必要な書類作成のための印刷代
等</x:t>
    </x:r>
  </x:si>
  <x:si>
    <x:t xml:space="preserve">会議費</x:t>
  </x:si>
  <x:si>
    <x:r>
      <x:rPr>
        <x:b/>
        <x:u val="single"/>
        <x:sz val="10"/>
        <x:color rgb="FF000000"/>
        <x:rFont val="MS UI Gothic"/>
        <x:family val="3"/>
      </x:rPr>
      <x:t xml:space="preserve">業務・事業の実施に直接必要な会議・シンポジウム・セミナー等の開催に要した経費
</x:t>
    </x:r>
    <x:r>
      <x:rPr>
        <x:sz val="10"/>
        <x:color rgb="FF000000"/>
        <x:rFont val="MS UI Gothic"/>
        <x:family val="3"/>
      </x:rPr>
      <x:t xml:space="preserve">　・研究運営委員会等の委員会開催費
　・会場借料
　・国際会議の通訳料
　・会議等に伴う飲食代・レセプション代（アルコール類は除く）
　等</x:t>
    </x:r>
  </x:si>
  <x:si>
    <x:t xml:space="preserve">通信運搬費</x:t>
  </x:si>
  <x:si>
    <x:r>
      <x:rPr>
        <x:b/>
        <x:u val="single"/>
        <x:sz val="10"/>
        <x:color rgb="FF000000"/>
        <x:rFont val="MS UI Gothic"/>
        <x:family val="3"/>
      </x:rPr>
      <x:t xml:space="preserve">業務・事業の実施に直接必要な物品の運搬、データの送受信等の通信・電話料
</x:t>
    </x:r>
    <x:r>
      <x:rPr>
        <x:sz val="10"/>
        <x:color rgb="FF000000"/>
        <x:rFont val="MS UI Gothic"/>
        <x:family val="3"/>
      </x:rPr>
      <x:t xml:space="preserve">　・電話料、ファクシミリ料
　・インターネット使用料
　・宅配便代
　・郵便料
　等</x:t>
    </x:r>
  </x:si>
  <x:si>
    <x:t xml:space="preserve">光熱水料</x:t>
  </x:si>
  <x:si>
    <x:t xml:space="preserve">業務・事業の実施に使用する機械装置等の運転等に要した電気、ガス及び水道等の経費</x:t>
  </x:si>
  <x:si>
    <x:t xml:space="preserve">その他
（諸経費）</x:t>
  </x:si>
  <x:si>
    <x:r>
      <x:rPr>
        <x:b/>
        <x:u val="single"/>
        <x:sz val="10"/>
        <x:color rgb="FF000000"/>
        <x:rFont val="MS UI Gothic"/>
        <x:family val="3"/>
      </x:rPr>
      <x:t xml:space="preserve">上記の各項目以外に、業務・事業の実施に直接必要な経費
</x:t>
    </x:r>
    <x:r>
      <x:rPr>
        <x:sz val="10"/>
        <x:color rgb="FF000000"/>
        <x:rFont val="MS UI Gothic"/>
        <x:family val="3"/>
      </x:rPr>
      <x:t xml:space="preserve">　・物品等の借損（賃借、リース、レンタル）及び使用にかかる経費、倉庫料、土地・建物借上料、圃場借料
　・研究機関内の施設・設備使用料
　・学会参加費（学会参加費と不可分なランチ代・バンケット代を含む。学会に参加するための旅費は『旅費』に計上）
　・学会参加費等のキャンセル料（やむを得ない事情からキャンセル料が認められる場合のみ）
　・研究成果発表費（論文審査料・論文投稿料（論文掲載料）・論文別刷り代、成果報告書作成・製本費、テキスト作成・出版費、ホームページ作成費等）
　・広報費（ホームページ・ニュースレター等）、広告宣伝費、求人費
　・保険料（業務・事業に必要なもの）
　・振込手数料
　・データ・権利等使用料（特許使用料、ライセンス料（ソフトウェアのライセンス使用料を含む）、データベース使用料、クラウド利用料等）　
　・特許関連経費
　・薬事相談費
　・薬品・廃材等処理代
　・書籍等のマイクロフィルム化・データ化
　・レンタカー代、タクシー代（旅費規程により『旅費』に計上するものを除く）
　・研究以外の業務の代行に係る経費（バイアウト経費）
　等</x:t>
    </x:r>
  </x:si>
  <x:si>
    <x:r>
      <x:rPr>
        <x:sz val="10"/>
        <x:color rgb="FFFF0000"/>
        <x:rFont val="AR P丸ゴシック体M"/>
        <x:family val="3"/>
      </x:rPr>
      <x:t xml:space="preserve">APIを利用するために要する経費（例：従量課金制によるAPI利用料、AIモデルその他の解析用APIの利用料、データ取得・照会・連携のために利用するAPIの利用料、データベース又は外部プラットフォームにAPIを通じてアクセスするための利用料等）は、</x:t>
    </x:r>
    <x:r>
      <x:rPr>
        <x:b/>
        <x:u val="single"/>
        <x:sz val="10"/>
        <x:color rgb="FFFF0000"/>
        <x:rFont val="AR P丸ゴシック体M"/>
        <x:family val="3"/>
      </x:rPr>
      <x:t xml:space="preserve">研究計画調書_4枚目の「その他（API費用）」として計上</x:t>
    </x:r>
    <x:r>
      <x:rPr>
        <x:sz val="10"/>
        <x:color rgb="FFFF0000"/>
        <x:rFont val="AR P丸ゴシック体M"/>
        <x:family val="3"/>
      </x:rPr>
      <x:t xml:space="preserve">してください。
また、計算資源の調達・利用において、利用・賃借・使用に係る経費（例：民間クラウドサービスの利用料、GPU搭載機器のリース料・レンタル料、研究機関内のHPCやGPUクラスター等の利用料、ソフトウェアライセンス料・サブスクリプション料等）は、</x:t>
    </x:r>
    <x:r>
      <x:rPr>
        <x:b/>
        <x:u val="single"/>
        <x:sz val="10"/>
        <x:color rgb="FFFF0000"/>
        <x:rFont val="AR P丸ゴシック体M"/>
        <x:family val="3"/>
      </x:rPr>
      <x:t xml:space="preserve">研究計画調書_4枚目の「その他（計算資源費用(クラウドGPU含む)）」として計上</x:t>
    </x:r>
    <x:r>
      <x:rPr>
        <x:sz val="10"/>
        <x:color rgb="FFFF0000"/>
        <x:rFont val="AR P丸ゴシック体M"/>
        <x:family val="3"/>
      </x:rPr>
      <x:t xml:space="preserve">してください。
なお、いずれも物品の取得を伴わない利用料等を想定しており、物品として取得する場合は、その性質に応じて「設備備品費」又は「消耗品費」として計上してください。</x:t>
    </x:r>
  </x:si>
  <x:si>
    <x:t xml:space="preserve">
その他（諸経費）として、AI for Scienceの波及・振興に資する次世代を担う理工系分野の人材育成の促進に係る経費の支出を可能としております。
・理数系の博士号取得者等によるオンラインでの小・中・高等学校における理科、物理、化学等の授業や出前講座に係る費用
・研究成果を中高生等が理解しやすいコンテンツとして SNS 等で配信するための費用
なお、本事業において「研究以外の業務の代行に係る経費（バイアウト経費）」の支出については対象外となります。</x:t>
  </x:si>
  <x:si>
    <x:t xml:space="preserve">消費税相当額
（委託費のみ）</x:t>
  </x:si>
  <x:si>
    <x:r>
      <x:t xml:space="preserve">「人件費のうち通勤手当を除いた額」、「外国旅費・外国人等招へい旅費のうち支度料や国内分の旅費を除いた額」、「諸謝金」及び「保険料」の</x:t>
    </x:r>
    <x:r>
      <x:rPr>
        <x:b/>
        <x:u val="single"/>
        <x:sz val="10"/>
        <x:color rgb="FF000000"/>
        <x:rFont val="MS UI Gothic"/>
        <x:family val="3"/>
      </x:rPr>
      <x:t xml:space="preserve">１０</x:t>
    </x:r>
    <x:r>
      <x:rPr>
        <x:b/>
        <x:u val="single"/>
        <x:sz val="10"/>
        <x:rFont val="MS UI Gothic"/>
        <x:family val="3"/>
      </x:rPr>
      <x:t xml:space="preserve">％に相当する額等、消費税に関して非（不）課税取引となる経費</x:t>
    </x:r>
  </x:si>
  <x:si>
    <x:t xml:space="preserve">本事業は補助事業ですので、本事項は対象外です。</x:t>
  </x:si>
  <x:si>
    <x:t xml:space="preserve">間接経費カンセツケイヒ</x:t>
  </x:si>
  <x:si>
    <x:r>
      <x:t xml:space="preserve">直接経費に対して一定比率で手当され、</x:t>
    </x:r>
    <x:r>
      <x:rPr>
        <x:b/>
        <x:u val="single"/>
        <x:sz val="10"/>
        <x:color indexed="8"/>
        <x:rFont val="MS UI Gothic"/>
        <x:family val="3"/>
      </x:rPr>
      <x:t xml:space="preserve">競争的研究費</x:t>
    </x:r>
    <x:r>
      <x:rPr>
        <x:b/>
        <x:u val="single"/>
        <x:sz val="10"/>
        <x:rFont val="MS UI Gothic"/>
        <x:family val="3"/>
      </x:rPr>
      <x:t xml:space="preserve">による研究の実施に伴う研究機関の管理等に必要な経費として、被配分機関が使用する経費。</x:t>
    </x:r>
  </x:si>
  <x:si>
    <x:t xml:space="preserve">再委託費・共同実施費サイイタクヒキョウドウジッシヒ</x:t>
  </x:si>
  <x:si>
    <x:t xml:space="preserve">委託先が委託業務の一部をさらに第三者に委託又は第三者と共同で実施するための経費（間接経費相当分を含む）カンセツケイヒソウトウブンフク</x:t>
  </x:si>
  <x:si>
    <x:t xml:space="preserve">機関番号</x:t>
  </x:si>
  <x:si>
    <x:t xml:space="preserve">整理番号</x:t>
  </x:si>
  <x:si>
    <x:t xml:space="preserve">←応募者はここは入力しないことオウボシャニュウリョク</x:t>
  </x:si>
  <x:si>
    <x:t xml:space="preserve">令和8年度 AI for Science萌芽的挑戦研究創出事業（SPReAD）研究計画調書</x:t>
  </x:si>
  <x:si>
    <x:t xml:space="preserve">←日付は半角数字でご記載くださいヒヅケハンカクスウジキサイ</x:t>
  </x:si>
  <x:si>
    <x:r>
      <x:t xml:space="preserve">e-Rad 研究者番号 (</x:t>
    </x:r>
    <x:r>
      <x:rPr>
        <x:b/>
        <x:sz val="8"/>
        <x:color rgb="FF000000"/>
        <x:rFont val="ＭＳ Ｐゴシック"/>
        <x:family val="3"/>
      </x:rPr>
      <x:t xml:space="preserve">8桁の半角数字)
※研究代表者本人が研究者番号を持たない場合は、代理で申請を行う指導教員等の番号をご記載ください</x:t>
    </x:r>
    <x:r>
      <x:rPr>
        <x:b/>
        <x:sz val="10"/>
        <x:color rgb="FF000000"/>
        <x:rFont val="ＭＳ Ｐゴシック"/>
        <x:family val="3"/>
      </x:rPr>
      <x:t xml:space="preserve">。</x:t>
    </x:r>
  </x:si>
  <x:si>
    <x:r>
      <x:rPr>
        <x:b/>
        <x:sz val="10"/>
        <x:color rgb="FF000000"/>
        <x:rFont val="ＭＳ Ｐゴシック"/>
        <x:family val="3"/>
      </x:rPr>
      <x:t xml:space="preserve">メールアドレス(半角英数字)
</x:t>
    </x:r>
    <x:r>
      <x:rPr>
        <x:b/>
        <x:sz val="8"/>
        <x:color rgb="FF000000"/>
        <x:rFont val="ＭＳ Ｐゴシック"/>
        <x:family val="3"/>
      </x:rPr>
      <x:t xml:space="preserve">※必ず、所属機関から発行されている研究代表者本人のメールアドレスをご使用ください。</x:t>
    </x:r>
    <x:r>
      <x:rPr>
        <x:b/>
        <x:sz val="8"/>
        <x:color rgb="FFFF0000"/>
        <x:rFont val="ＭＳ Ｐゴシック"/>
        <x:family val="3"/>
      </x:rPr>
      <x:t xml:space="preserve">なお、こちらに記載するメールアドレスは、AIインタビュー実施時に登録するメールアドレスと必ず一致させてください。</x:t>
    </x:r>
    <x:r>
      <x:rPr>
        <x:b/>
        <x:sz val="8"/>
        <x:color rgb="FF000000"/>
        <x:rFont val="ＭＳ Ｐゴシック"/>
        <x:family val="3"/>
      </x:rPr>
      <x:t xml:space="preserve">一致しない場合、応募を受理しません。</x:t>
    </x:r>
  </x:si>
  <x:si>
    <x:r>
      <x:t xml:space="preserve">研究代表者氏名
</x:t>
    </x:r>
    <x:r>
      <x:rPr>
        <x:b/>
        <x:sz val="8"/>
        <x:rFont val="ＭＳ Ｐゴシック"/>
        <x:family val="3"/>
      </x:rPr>
      <x:t xml:space="preserve">※姓と名は全角で1スペース空ける</x:t>
    </x:r>
  </x:si>
  <x:si>
    <x:t xml:space="preserve">(フリガナ)　</x:t>
  </x:si>
  <x:si>
    <x:t xml:space="preserve">(漢字等)</x:t>
  </x:si>
  <x:si>
    <x:t xml:space="preserve">生年月日 (西暦、半角数字)セイレキ</x:t>
  </x:si>
  <x:si>
    <x:r>
      <x:t xml:space="preserve">e-Rad所属機関コード(半角数字)
</x:t>
    </x:r>
    <x:r>
      <x:rPr>
        <x:b/>
        <x:sz val="8"/>
        <x:rFont val="ＭＳ Ｐゴシック"/>
        <x:family val="3"/>
      </x:rPr>
      <x:t xml:space="preserve">※ご不明な場合は、e-Rad上ないしは所属機関にご確認ください。</x:t>
    </x:r>
  </x:si>
  <x:si>
    <x:t xml:space="preserve">所属機関</x:t>
  </x:si>
  <x:si>
    <x:t xml:space="preserve">部局ブキョク</x:t>
  </x:si>
  <x:si>
    <x:t xml:space="preserve">職ショク</x:t>
  </x:si>
  <x:si>
    <x:t xml:space="preserve">区分クブン</x:t>
  </x:si>
  <x:si>
    <x:t xml:space="preserve">文字数カウント　※編集しないでくださいモジスウヘンシュウ</x:t>
  </x:si>
  <x:si>
    <x:r>
      <x:rPr>
        <x:b/>
        <x:sz val="10"/>
        <x:color rgb="FF000000"/>
        <x:rFont val="ＭＳ Ｐゴシック"/>
        <x:family val="3"/>
      </x:rPr>
      <x:t xml:space="preserve">研究領域
</x:t>
    </x:r>
    <x:r>
      <x:rPr>
        <x:b/>
        <x:sz val="8"/>
        <x:color rgb="FF000000"/>
        <x:rFont val="ＭＳ Ｐゴシック"/>
        <x:family val="3"/>
      </x:rPr>
      <x:t xml:space="preserve">※「留意事項」タブを参照し、最も近しいものをご選択ください。</x:t>
    </x:r>
  </x:si>
  <x:si>
    <x:t xml:space="preserve">日本語ニホンゴ</x:t>
  </x:si>
  <x:si>
    <x:t xml:space="preserve">English</x:t>
  </x:si>
  <x:si>
    <x:r>
      <x:rPr>
        <x:b/>
        <x:sz val="10"/>
        <x:color rgb="FF000000"/>
        <x:rFont val="ＭＳ Ｐゴシック"/>
        <x:family val="3"/>
      </x:rPr>
      <x:t xml:space="preserve">メインユースケース分類
</x:t>
    </x:r>
    <x:r>
      <x:rPr>
        <x:b/>
        <x:sz val="8"/>
        <x:color rgb="FF000000"/>
        <x:rFont val="ＭＳ Ｐゴシック"/>
        <x:family val="3"/>
      </x:rPr>
      <x:t xml:space="preserve">※「留意事項」タブを参照し、最も達成したいユースケースを1つご選択ください。特にAIの開発を伴う研究計画については、該当する分類から選択するようにし、「その他」は、既存の分類のいずれも明確に該当しない場合に限り選択してください。
例)AIの導入又は利活用が科学研究に及ぼす影響に関する研究計画 等</x:t>
    </x:r>
  </x:si>
  <x:si>
    <x:r>
      <x:t xml:space="preserve">「その他」を選択した場合
</x:t>
    </x:r>
    <x:r>
      <x:rPr>
        <x:b/>
        <x:sz val="8"/>
        <x:rFont val="ＭＳ Ｐゴシック"/>
        <x:family val="3"/>
      </x:rPr>
      <x:t xml:space="preserve">※自由記述</x:t>
    </x:r>
  </x:si>
  <x:si>
    <x:r>
      <x:rPr>
        <x:b/>
        <x:sz val="10"/>
        <x:color rgb="FF000000"/>
        <x:rFont val="ＭＳ Ｐゴシック"/>
        <x:family val="3"/>
      </x:rPr>
      <x:t xml:space="preserve">サブユースケース選択
</x:t>
    </x:r>
    <x:r>
      <x:rPr>
        <x:b/>
        <x:sz val="8"/>
        <x:color rgb="FF000000"/>
        <x:rFont val="ＭＳ Ｐゴシック"/>
        <x:family val="3"/>
      </x:rPr>
      <x:t xml:space="preserve">※「留意事項」タブを参照し、メインユースケースを達成するための補助目的として該当するものすべてをご選択ください</x:t>
    </x:r>
  </x:si>
  <x:si>
    <x:t xml:space="preserve">1.学習用データセット
構築</x:t>
  </x:si>
  <x:si>
    <x:t xml:space="preserve">2.既存モデルの適応キゾンテキオウ</x:t>
  </x:si>
  <x:si>
    <x:t xml:space="preserve">3.AIモデル開発カイハツ</x:t>
  </x:si>
  <x:si>
    <x:t xml:space="preserve">4.既存モデル評価キゾンヒョウカ</x:t>
  </x:si>
  <x:si>
    <x:t xml:space="preserve">5.実験自動化・
自律化</x:t>
  </x:si>
  <x:si>
    <x:t xml:space="preserve">6.シミュレーション・
デジタルツイン</x:t>
  </x:si>
  <x:si>
    <x:t xml:space="preserve">7.発見・設計支援ハッケンセッケイシエン</x:t>
  </x:si>
  <x:si>
    <x:t xml:space="preserve">8.高度データ解析・
モデリングコウドカイセキ</x:t>
  </x:si>
  <x:si>
    <x:r>
      <x:rPr>
        <x:b/>
        <x:sz val="10"/>
        <x:color rgb="FF000000"/>
        <x:rFont val="ＭＳ Ｐゴシック"/>
        <x:family val="3"/>
      </x:rPr>
      <x:t xml:space="preserve">研究課題名</x:t>
    </x:r>
    <x:r>
      <x:rPr>
        <x:b/>
        <x:sz val="10"/>
        <x:color rgb="FFFF0000"/>
        <x:rFont val="ＭＳ Ｐゴシック"/>
        <x:family val="3"/>
      </x:rPr>
      <x:t xml:space="preserve">(日本語：50文字程度,English：around 30 words)</x:t>
    </x:r>
  </x:si>
  <x:si>
    <x:r>
      <x:rPr>
        <x:b/>
        <x:sz val="10"/>
        <x:color rgb="FF000000"/>
        <x:rFont val="ＭＳ Ｐゴシック"/>
        <x:family val="3"/>
      </x:rPr>
      <x:t xml:space="preserve">研究での現在の
AI利活用度合い
</x:t>
    </x:r>
    <x:r>
      <x:rPr>
        <x:b/>
        <x:sz val="8"/>
        <x:color rgb="FF000000"/>
        <x:rFont val="ＭＳ Ｐゴシック"/>
        <x:family val="3"/>
      </x:rPr>
      <x:t xml:space="preserve">(複数選択可)
※直接的に採択可否には影響しません</x:t>
    </x:r>
  </x:si>
  <x:si>
    <x:t xml:space="preserve">研究でAIをまったく使っていない</x:t>
  </x:si>
  <x:si>
    <x:t xml:space="preserve">研究そのもの以外の業務（メール・翻訳等）でAIを使っている</x:t>
  </x:si>
  <x:si>
    <x:t xml:space="preserve">研究における文献探索や要約にAIを使っている</x:t>
  </x:si>
  <x:si>
    <x:t xml:space="preserve">論文執筆や研究発表資料作成にAIを使っている</x:t>
  </x:si>
  <x:si>
    <x:t xml:space="preserve">仮説検討やアイデア出しにAIを使っている</x:t>
  </x:si>
  <x:si>
    <x:t xml:space="preserve">研究データをAI (含: 自ら作成した深層学習コード 等) で分析・処理をしたことがある</x:t>
  </x:si>
  <x:si>
    <x:t xml:space="preserve">AIや深層学習による分析結果を、論文・発表などにおいて研究成果として発表したことがある</x:t>
  </x:si>
  <x:si>
    <x:t xml:space="preserve">APIにより既存AIを研究プロセスに組み込んでいる</x:t>
  </x:si>
  <x:si>
    <x:t xml:space="preserve">自分でAI・深層学習モデルの開発 (学習・評価の一連のプロセス全てを含む)を行い、研究に活用したことがある</x:t>
  </x:si>
  <x:si>
    <x:t xml:space="preserve">新しい基盤モデル開発の経験がある</x:t>
  </x:si>
  <x:si>
    <x:r>
      <x:rPr>
        <x:b/>
        <x:sz val="10"/>
        <x:color rgb="FF000000"/>
        <x:rFont val="ＭＳ Ｐゴシック"/>
        <x:family val="3"/>
      </x:rPr>
      <x:t xml:space="preserve">現在の具体的な
活用方法</x:t>
    </x:r>
    <x:r>
      <x:rPr>
        <x:b/>
        <x:sz val="10"/>
        <x:color rgb="FFFF0000"/>
        <x:rFont val="ＭＳ Ｐゴシック"/>
        <x:family val="3"/>
      </x:rPr>
      <x:t xml:space="preserve">(200字程度,English：around 120 words)</x:t>
    </x:r>
  </x:si>
  <x:si>
    <x:r>
      <x:rPr>
        <x:b/>
        <x:sz val="10"/>
        <x:color rgb="FF000000"/>
        <x:rFont val="ＭＳ Ｐゴシック"/>
        <x:family val="3"/>
      </x:rPr>
      <x:t xml:space="preserve">研究経費(半角数字)
</x:t>
    </x:r>
    <x:r>
      <x:rPr>
        <x:b/>
        <x:sz val="8"/>
        <x:color rgb="FF000000"/>
        <x:rFont val="ＭＳ Ｐゴシック"/>
        <x:family val="3"/>
      </x:rPr>
      <x:t xml:space="preserve">※千円未満の端数は切り捨てる
</x:t>
    </x:r>
    <x:r>
      <x:rPr>
        <x:b/>
        <x:sz val="8"/>
        <x:color rgb="FFFF0000"/>
        <x:rFont val="ＭＳ Ｐゴシック"/>
        <x:family val="3"/>
      </x:rPr>
      <x:t xml:space="preserve">※本欄は、自動で研究計画調書2枚目の各項目の総計欄が反映されますので編集しないでください</x:t>
    </x:r>
  </x:si>
  <x:si>
    <x:t xml:space="preserve">研究経費(千円)ケンキュウケイヒセンエン</x:t>
  </x:si>
  <x:si>
    <x:t xml:space="preserve">内訳ウチワケ</x:t>
  </x:si>
  <x:si>
    <x:t xml:space="preserve">設備備品費セツビビヒンヒ</x:t>
  </x:si>
  <x:si>
    <x:t xml:space="preserve">消耗品費ショウモウヒンヒ</x:t>
  </x:si>
  <x:si>
    <x:t xml:space="preserve">総計</x:t>
  </x:si>
  <x:si>
    <x:t xml:space="preserve">説明は、原則として文章により記述してください。図表を用いた説明が必要な場合には、後段に設ける図表掲載欄において提示してください。なお、色を付した図や文字が使用された研究計画調書はそのまま審査に付されます。</x:t>
  </x:si>
  <x:si>
    <x:t xml:space="preserve">文字数カウント　※編集しないでくださいモジスウ</x:t>
  </x:si>
  <x:si>
    <x:r>
      <x:t xml:space="preserve">研究目的</x:t>
    </x:r>
    <x:r>
      <x:rPr>
        <x:b/>
        <x:sz val="10"/>
        <x:color rgb="FFFF0000"/>
        <x:rFont val="ＭＳ Ｐゴシック"/>
        <x:family val="3"/>
      </x:rPr>
      <x:t xml:space="preserve">(日本語：80文字以上400文字以内,English：48～240 words)</x:t>
    </x:r>
    <x:r>
      <x:rPr>
        <x:b/>
        <x:sz val="10"/>
        <x:color rgb="FF000000"/>
        <x:rFont val="ＭＳ Ｐゴシック"/>
        <x:family val="3"/>
      </x:rPr>
      <x:t xml:space="preserve">
※研究課題の内容及びその目的について、何のためにどのような研究を行うのかを具体的に記載してください。対象とする現象・課題、解決しようとする問題、得ようとする知見等を明確に示してください。</x:t>
    </x:r>
  </x:si>
  <x:si>
    <x:r>
      <x:t xml:space="preserve">研究方法</x:t>
    </x:r>
    <x:r>
      <x:rPr>
        <x:b/>
        <x:sz val="10"/>
        <x:color rgb="FFFF0000"/>
        <x:rFont val="ＭＳ Ｐゴシック"/>
        <x:family val="3"/>
      </x:rPr>
      <x:t xml:space="preserve">(日本語：160文字以上800文字以内,English：96～480 words)</x:t>
    </x:r>
    <x:r>
      <x:rPr>
        <x:b/>
        <x:sz val="10"/>
        <x:color rgb="FF000000"/>
        <x:rFont val="ＭＳ Ｐゴシック"/>
        <x:family val="3"/>
      </x:rPr>
      <x:t xml:space="preserve">
※研究目的を達成するための具体的な方法を記載してください。研究プロセスを工程ごとに整理し、それぞれの工程においてAIをどのように適用又は開発するかを明確に示してください。また、使用するデータの種類・取得方法、評価指標及び検証方法についても可能な限り具体的に記載してください。</x:t>
    </x:r>
  </x:si>
  <x:si>
    <x:r>
      <x:rPr>
        <x:b/>
        <x:sz val="10"/>
        <x:color rgb="FF000000"/>
        <x:rFont val="ＭＳ Ｐゴシック"/>
        <x:family val="3"/>
      </x:rPr>
      <x:t xml:space="preserve">AI利活用の妥当性・実現可能性</x:t>
    </x:r>
    <x:r>
      <x:rPr>
        <x:b/>
        <x:sz val="10"/>
        <x:color rgb="FFFF0000"/>
        <x:rFont val="ＭＳ Ｐゴシック"/>
        <x:family val="3"/>
      </x:rPr>
      <x:t xml:space="preserve">(日本語：160字以上800文字以内,English：96～480 words)
</x:t>
    </x:r>
    <x:r>
      <x:rPr>
        <x:b/>
        <x:sz val="10"/>
        <x:color rgb="FF000000"/>
        <x:rFont val="ＭＳ Ｐゴシック"/>
        <x:family val="3"/>
      </x:rPr>
      <x:t xml:space="preserve">※当該研究課題においてAIを利活用する必要性及び妥当性について記載してください。従来手法では対応が困難である点や、AIを利活用することで実現可能となる事項を具体的に示し、当該研究におけるAI利活用の意義が明確となるようにしてください。</x:t>
    </x:r>
  </x:si>
  <x:si>
    <x:r>
      <x:t xml:space="preserve">達成目標</x:t>
    </x:r>
    <x:r>
      <x:rPr>
        <x:b/>
        <x:sz val="10"/>
        <x:color rgb="FFFF0000"/>
        <x:rFont val="ＭＳ Ｐゴシック"/>
        <x:family val="3"/>
      </x:rPr>
      <x:t xml:space="preserve">(日本語：100文字以上500文字以内,English：60～300 words)</x:t>
    </x:r>
    <x:r>
      <x:rPr>
        <x:b/>
        <x:sz val="10"/>
        <x:color rgb="FF000000"/>
        <x:rFont val="ＭＳ Ｐゴシック"/>
        <x:family val="3"/>
      </x:rPr>
      <x:t xml:space="preserve">
※研究実施期間（約180日）において達成を目指す事項を具体的に記載してください。中間（3か月後）及び最終（6か月後）における到達目標や成果物を明確に区分し、試作、PoC、予備的検証等を含め、研究がどのように前進するのか、またそのための具体的な計画が分かるように記載してください。</x:t>
    </x:r>
  </x:si>
  <x:si>
    <x:r>
      <x:t xml:space="preserve">AI利活用のノウハウ抽出・共有の実現計画</x:t>
    </x:r>
    <x:r>
      <x:rPr>
        <x:b/>
        <x:sz val="10"/>
        <x:color rgb="FFFF0000"/>
        <x:rFont val="ＭＳ Ｐゴシック"/>
        <x:family val="3"/>
      </x:rPr>
      <x:t xml:space="preserve">(日本語：60文字以上300文字以内,English：36～180 words)</x:t>
    </x:r>
    <x:r>
      <x:rPr>
        <x:b/>
        <x:sz val="10"/>
        <x:color rgb="FF000000"/>
        <x:rFont val="ＭＳ Ｐゴシック"/>
        <x:family val="3"/>
      </x:rPr>
      <x:t xml:space="preserve">
※本事業では、AI for Scienceの知見を共有するコミュニティ形成を行います。本研究を通じて得られるAI利活用の知見について、どのように整理・抽出し、当該コミュニティにおいて、共有・展開するかを記載してください。各工程における利活用方法や課題を体系的に整理し、他の研究分野においても利活用可能な形での共有を意識して記載してください。</x:t>
    </x:r>
  </x:si>
  <x:si>
    <x:r>
      <x:rPr>
        <x:b/>
        <x:sz val="10"/>
        <x:color rgb="FF000000"/>
        <x:rFont val="ＭＳ Ｐゴシック"/>
        <x:family val="3"/>
      </x:rPr>
      <x:t xml:space="preserve">参考）図の貼付
※研究内容の理解を促進するため、研究プロセスやAIの適用箇所等を示す図を適宜貼付してください。図は簡潔かつ分かりやすい構成とし、文章では伝わりにくい関係性や流れを補足するものとしてください（</x:t>
    </x:r>
    <x:r>
      <x:rPr>
        <x:b/>
        <x:sz val="10"/>
        <x:color rgb="FFFF0000"/>
        <x:rFont val="ＭＳ Ｐゴシック"/>
        <x:family val="3"/>
      </x:rPr>
      <x:t xml:space="preserve">最大1枚</x:t>
    </x:r>
    <x:r>
      <x:rPr>
        <x:b/>
        <x:sz val="10"/>
        <x:color rgb="FF000000"/>
        <x:rFont val="ＭＳ Ｐゴシック"/>
        <x:family val="3"/>
      </x:rPr>
      <x:t xml:space="preserve">）。</x:t>
    </x:r>
  </x:si>
  <x:si>
    <x:r>
      <x:t xml:space="preserve">研究業績等
※当該研究課題に関連して、主要な業績（学術論文・学会発表・著書のいずれか）を合計で</x:t>
    </x:r>
    <x:r>
      <x:rPr>
        <x:b/>
        <x:sz val="10"/>
        <x:color rgb="FFFF0000"/>
        <x:rFont val="ＭＳ Ｐゴシック"/>
        <x:family val="3"/>
      </x:rPr>
      <x:t xml:space="preserve">最大5件</x:t>
    </x:r>
    <x:r>
      <x:rPr>
        <x:b/>
        <x:sz val="10"/>
        <x:color rgb="FF000000"/>
        <x:rFont val="ＭＳ Ｐゴシック"/>
        <x:family val="3"/>
      </x:rPr>
      <x:t xml:space="preserve">まで、各項目ごとに改行し、箇条書きで記載すること。
学術論文：「題名」「著者（本人に下線）」「雑誌名」「発行年月」を記すこと。「被引用数」を付記してもよいが、その場合、情報源・取得日を明記すること。
学会発表：：「題名」「著者（本人に下線）」「雑誌名」「発行年月」を記すこと。当該学会において受賞等があった場合、その旨を追記してもよい。
著書：「書名」」「著者（本人に下線）」「発行所」「発行年月」を記すこと。「分担項目名」を記してもよい。</x:t>
    </x:r>
  </x:si>
  <x:si>
    <x:t xml:space="preserve">これより下は、記入欄が不足した場合、行を追加して記入いただいて問題ございません。
ただし、総計欄は削除しないでください。</x:t>
  </x:si>
  <x:si>
    <x:t xml:space="preserve">研究経費とその必要性</x:t>
  </x:si>
  <x:si>
    <x:t xml:space="preserve">※研究計画において、「設備備品費」、「旅費」又は「謝金」のいずれかの経費が９０％を超える研究計画の場合及びその他（消耗品費、その他）の費目で特に大きな割合を占める経費がある研究計画の場合には、当該経費の研究遂行上の必要性について、研究計画調書に記載しなければなりません。
※千円未満の端数は切り捨ててください</x:t>
  </x:si>
  <x:si>
    <x:t xml:space="preserve">設備備品費の明細</x:t>
  </x:si>
  <x:si>
    <x:t xml:space="preserve">消耗品費の明細ショウモウ</x:t>
  </x:si>
  <x:si>
    <x:t xml:space="preserve">品名・仕様</x:t>
  </x:si>
  <x:si>
    <x:t xml:space="preserve">設置機関</x:t>
  </x:si>
  <x:si>
    <x:t xml:space="preserve">数量スウリョウ</x:t>
  </x:si>
  <x:si>
    <x:t xml:space="preserve">単価タンカ</x:t>
  </x:si>
  <x:si>
    <x:t xml:space="preserve">金額(千円)キンガクセンエン</x:t>
  </x:si>
  <x:si>
    <x:t xml:space="preserve">事項ジコウ</x:t>
  </x:si>
  <x:si>
    <x:t xml:space="preserve">金額(千円)</x:t>
  </x:si>
  <x:si>
    <x:t xml:space="preserve">設備備品費、消耗品費の必要性</x:t>
  </x:si>
  <x:si>
    <x:t xml:space="preserve">謝金の明細</x:t>
  </x:si>
  <x:si>
    <x:t xml:space="preserve">国内旅費の明細</x:t>
  </x:si>
  <x:si>
    <x:t xml:space="preserve">外国旅費の明細</x:t>
  </x:si>
  <x:si>
    <x:t xml:space="preserve">謝金、旅費の必要性</x:t>
  </x:si>
  <x:si>
    <x:t xml:space="preserve">本頁に事項・金額を記載の上で、APIと計算資源(クラウドGPU含む)を使用予定の場合は、事項の詳細を次頁に記入してください。</x:t>
  </x:si>
  <x:si>
    <x:t xml:space="preserve">その他の必要性</x:t>
  </x:si>
  <x:si>
    <x:t xml:space="preserve">※千円未満の端数は切り捨ててください</x:t>
  </x:si>
  <x:si>
    <x:t xml:space="preserve">費用詳細 その他(API費用)ヒヨウショウサイホカヒヨウ</x:t>
  </x:si>
  <x:si>
    <x:t xml:space="preserve">処理対象</x:t>
  </x:si>
  <x:si>
    <x:t xml:space="preserve">算定根拠（1回あたりの入力量/出力量、反応速度、再実行率等）</x:t>
  </x:si>
  <x:si>
    <x:t xml:space="preserve">費用詳細 その他(計算資源費用 (クラウドGPU含む))</x:t>
  </x:si>
  <x:si>
    <x:t xml:space="preserve">GPU種類シュルイ</x:t>
  </x:si>
  <x:si>
    <x:t xml:space="preserve">当該GPUを選定した理由</x:t>
  </x:si>
  <x:si>
    <x:t xml:space="preserve">算定根拠（データ処理に係る量や頻度 等）</x:t>
  </x:si>
  <x:si>
    <x:t xml:space="preserve">AIインタビュー実施完了報告書</x:t>
  </x:si>
  <x:si>
    <x:t xml:space="preserve">ここは、AIインタビューの完了証跡を貼付いただくページです。
AIインタビューの実施完了後に送付される完了メールのスクリーンショットを貼り付けてください。
その際、スクリーンショット内にご自身（研究代表者本人）のメールアドレスが表示されていることを必ず確認してください。</x:t>
  </x:si>
  <x:si>
    <x:t xml:space="preserve">ご自身のメールアドレスが、スクリーンショット内で表示されていますか？表示されていたら、チェックボックスにチェックを入れてください。</x:t>
  </x:si>
  <x:si>
    <x:t xml:space="preserve">参考：スクリーンショットのイメージサンコウ</x:t>
  </x:si>
  <x:si>
    <x:t xml:space="preserve">ユースケース分類ブンルイ</x:t>
  </x:si>
  <x:si>
    <x:t xml:space="preserve">1.学習用データセット構築</x:t>
  </x:si>
  <x:si>
    <x:t xml:space="preserve">大学・研究機関等の教員・研究員等</x:t>
  </x:si>
  <x:si>
    <x:t xml:space="preserve">2.既存モデルの適応</x:t>
  </x:si>
  <x:si>
    <x:t xml:space="preserve">高等専門学校の教員・研究者等キョウインケンキュウシャトウ</x:t>
  </x:si>
  <x:si>
    <x:t xml:space="preserve">3.AIモデル開発</x:t>
  </x:si>
  <x:si>
    <x:t xml:space="preserve">ポストドクター</x:t>
  </x:si>
  <x:si>
    <x:t xml:space="preserve">4.既存モデル評価</x:t>
  </x:si>
  <x:si>
    <x:t xml:space="preserve">大学院博士課程在籍者</x:t>
  </x:si>
  <x:si>
    <x:t xml:space="preserve">5.実験自動化・自律化</x:t>
  </x:si>
  <x:si>
    <x:t xml:space="preserve">大学院修士課程在籍者</x:t>
  </x:si>
  <x:si>
    <x:t xml:space="preserve">6.シミュレーション・デジタルツイン</x:t>
  </x:si>
  <x:si>
    <x:t xml:space="preserve">学部学生</x:t>
  </x:si>
  <x:si>
    <x:t xml:space="preserve">7.発見・設計支援</x:t>
  </x:si>
  <x:si>
    <x:t xml:space="preserve">高等専門学校の学生ガクセイ</x:t>
  </x:si>
  <x:si>
    <x:t xml:space="preserve">8.高度データ解析・モデリング</x:t>
  </x:si>
  <x:si>
    <x:t xml:space="preserve">民間企業の研究者</x:t>
  </x:si>
  <x:si>
    <x:t xml:space="preserve">9.その他ホカ</x:t>
  </x:si>
  <x:si>
    <x:t xml:space="preserve">非営利団体等の研究者等トウトウ</x:t>
  </x:si>
</x:sst>
</file>

<file path=xl/styles.xml><?xml version="1.0" encoding="utf-8"?>
<x:styleSheet xmlns:x="http://schemas.openxmlformats.org/spreadsheetml/2006/main">
  <x:numFmts count="1">
    <x:numFmt numFmtId="176" formatCode="00000"/>
  </x:numFmts>
  <x:fonts count="47">
    <x:font>
      <x:sz val="11"/>
      <x:color theme="1"/>
      <x:name val="Meiryo UI"/>
    </x:font>
    <x:font>
      <x:sz val="6"/>
      <x:name val="Meiryo UI"/>
    </x:font>
    <x:font>
      <x:sz val="10"/>
      <x:color rgb="000000"/>
      <x:name val="Times New Roman"/>
    </x:font>
    <x:font>
      <x:b/>
      <x:sz val="10"/>
      <x:color rgb="000000"/>
      <x:name val="ＭＳ Ｐゴシック"/>
    </x:font>
    <x:font>
      <x:b/>
      <x:sz val="10"/>
      <x:name val="ＭＳ Ｐゴシック"/>
    </x:font>
    <x:font>
      <x:sz val="6"/>
      <x:name val="ＭＳ Ｐゴシック"/>
    </x:font>
    <x:font>
      <x:sz val="10"/>
      <x:color rgb="000000"/>
      <x:name val="游ゴシック"/>
    </x:font>
    <x:font>
      <x:sz val="10"/>
      <x:color rgb="000000"/>
      <x:name val="ＭＳ Ｐゴシック"/>
    </x:font>
    <x:font>
      <x:sz val="10"/>
      <x:name val="ＭＳ Ｐゴシック"/>
    </x:font>
    <x:font>
      <x:b/>
      <x:sz val="10"/>
      <x:color rgb="FF0000"/>
      <x:name val="ＭＳ Ｐゴシック"/>
    </x:font>
    <x:font>
      <x:b/>
      <x:sz val="8"/>
      <x:color rgb="000000"/>
      <x:name val="ＭＳ Ｐゴシック"/>
    </x:font>
    <x:font>
      <x:b/>
      <x:sz val="10"/>
      <x:color rgb="000000"/>
      <x:name val="游ゴシック"/>
    </x:font>
    <x:font>
      <x:sz val="10"/>
      <x:color rgb="FF0000"/>
      <x:name val="ＭＳ Ｐゴシック"/>
    </x:font>
    <x:font>
      <x:b/>
      <x:sz val="12"/>
      <x:color rgb="000000"/>
      <x:name val="ＭＳ Ｐゴシック"/>
    </x:font>
    <x:font>
      <x:b/>
      <x:sz val="8"/>
      <x:name val="ＭＳ Ｐゴシック"/>
    </x:font>
    <x:font>
      <x:sz val="10"/>
      <x:color rgb="000000"/>
      <x:name val="ＭＳ Ｐ明朝"/>
    </x:font>
    <x:font>
      <x:b/>
      <x:sz val="10"/>
      <x:color rgb="000000"/>
      <x:name val="Times New Roman"/>
    </x:font>
    <x:font>
      <x:sz val="11"/>
      <x:color theme="1"/>
      <x:name val="ＭＳ Ｐゴシック"/>
    </x:font>
    <x:font>
      <x:b/>
      <x:sz val="11"/>
      <x:color theme="1"/>
      <x:name val="ＭＳ Ｐゴシック"/>
    </x:font>
    <x:font>
      <x:b/>
      <x:sz val="10"/>
      <x:name val="ＭＳ Ｐゴシック"/>
    </x:font>
    <x:font>
      <x:b/>
      <x:sz val="10"/>
      <x:color rgb="000000"/>
      <x:name val="ＭＳ Ｐゴシック"/>
    </x:font>
    <x:font>
      <x:b/>
      <x:sz val="10"/>
      <x:color rgb="000000"/>
      <x:name val="MS PGothic"/>
    </x:font>
    <x:font>
      <x:b/>
      <x:sz val="20"/>
      <x:name val="MS UI Gothic"/>
    </x:font>
    <x:font>
      <x:sz val="20"/>
      <x:name val="ＭＳ Ｐゴシック"/>
    </x:font>
    <x:font>
      <x:sz val="11"/>
      <x:name val="MS UI Gothic"/>
    </x:font>
    <x:font>
      <x:sz val="22"/>
      <x:name val="MS UI Gothic"/>
    </x:font>
    <x:font>
      <x:b/>
      <x:sz val="16"/>
      <x:name val="MS UI Gothic"/>
    </x:font>
    <x:font>
      <x:sz val="14"/>
      <x:name val="MS UI Gothic"/>
    </x:font>
    <x:font>
      <x:b/>
      <x:sz val="11"/>
      <x:name val="MS UI Gothic"/>
    </x:font>
    <x:font>
      <x:sz val="10"/>
      <x:name val="MS UI Gothic"/>
    </x:font>
    <x:font>
      <x:b/>
      <x:sz val="10"/>
      <x:name val="MS UI Gothic"/>
    </x:font>
    <x:font>
      <x:sz val="10"/>
      <x:name val="AR P丸ゴシック体M"/>
    </x:font>
    <x:font>
      <x:sz val="10"/>
      <x:color rgb="FF0000"/>
      <x:name val="AR P丸ゴシック体M"/>
    </x:font>
    <x:font>
      <x:b/>
      <x:sz val="10"/>
      <x:color indexed="8"/>
      <x:name val="MS UI Gothic"/>
    </x:font>
    <x:font>
      <x:b/>
      <x:sz val="11"/>
      <x:color theme="1"/>
      <x:name val="ＭＳ Ｐゴシック"/>
    </x:font>
    <x:font>
      <x:b/>
      <x:sz val="8"/>
      <x:color rgb="FF0000"/>
      <x:name val="ＭＳ Ｐゴシック"/>
    </x:font>
    <x:font>
      <x:sz val="10"/>
      <x:color rgb="000000"/>
      <x:name val="MS PGothic"/>
    </x:font>
    <x:font>
      <x:b/>
      <x:sz val="10"/>
      <x:color rgb="000000"/>
      <x:name val="MS UI Gothic"/>
    </x:font>
    <x:font>
      <x:sz val="10"/>
      <x:color rgb="000000"/>
      <x:name val="MS UI Gothic"/>
    </x:font>
    <x:font>
      <x:sz val="14"/>
      <x:color rgb="000000"/>
      <x:name val="Times New Roman"/>
    </x:font>
    <x:font>
      <x:sz val="11"/>
      <x:color theme="1"/>
      <x:name val="MS PGothic"/>
    </x:font>
    <x:font>
      <x:sz val="11"/>
      <x:color rgb="000000"/>
      <x:name val="ＭＳ Ｐゴシック"/>
    </x:font>
    <x:font>
      <x:b/>
      <x:sz val="10"/>
      <x:color rgb="FF0000"/>
      <x:name val="AR P丸ゴシック体M"/>
    </x:font>
    <x:font>
      <x:b/>
      <x:sz val="10"/>
      <x:color rgb="000000"/>
      <x:name val="ＭＳ Ｐゴシック"/>
    </x:font>
    <x:font>
      <x:b/>
      <x:sz val="10"/>
      <x:name val="ＭＳ Ｐゴシック"/>
    </x:font>
    <x:font>
      <x:b/>
      <x:sz val="10"/>
      <x:color rgb="000000"/>
      <x:name val="MS UI Gothic"/>
    </x:font>
    <x:font>
      <x:b/>
      <x:sz val="10"/>
      <x:color theme="1"/>
      <x:name val="ＭＳ Ｐゴシック"/>
    </x:font>
  </x:fonts>
  <x:fills count="15">
    <x:fill>
      <x:patternFill patternType="none"/>
    </x:fill>
    <x:fill>
      <x:patternFill patternType="gray125"/>
    </x:fill>
    <x:fill>
      <x:patternFill patternType="solid">
        <x:fgColor theme="8" tint="0.79998"/>
      </x:patternFill>
    </x:fill>
    <x:fill>
      <x:patternFill patternType="solid">
        <x:fgColor theme="4" tint="0.79998"/>
      </x:patternFill>
    </x:fill>
    <x:fill>
      <x:patternFill patternType="solid">
        <x:fgColor theme="2" tint="-0.09998"/>
      </x:patternFill>
    </x:fill>
    <x:fill>
      <x:patternFill patternType="solid">
        <x:fgColor theme="9" tint="0.79998"/>
      </x:patternFill>
    </x:fill>
    <x:fill>
      <x:patternFill patternType="solid">
        <x:fgColor indexed="42"/>
      </x:patternFill>
    </x:fill>
    <x:fill>
      <x:patternFill patternType="solid">
        <x:fgColor indexed="45"/>
      </x:patternFill>
    </x:fill>
    <x:fill>
      <x:patternFill patternType="solid">
        <x:fgColor rgb="CCFFFF"/>
      </x:patternFill>
    </x:fill>
    <x:fill>
      <x:patternFill patternType="solid">
        <x:fgColor rgb="FFFF99"/>
      </x:patternFill>
    </x:fill>
    <x:fill>
      <x:patternFill patternType="solid">
        <x:fgColor rgb="FFCC99"/>
      </x:patternFill>
    </x:fill>
    <x:fill>
      <x:patternFill patternType="solid">
        <x:fgColor rgb="CCFFCC"/>
      </x:patternFill>
    </x:fill>
    <x:fill>
      <x:patternFill patternType="solid">
        <x:fgColor rgb="99CCFF"/>
      </x:patternFill>
    </x:fill>
    <x:fill>
      <x:patternFill patternType="solid">
        <x:fgColor theme="2" tint="-0.49998"/>
      </x:patternFill>
    </x:fill>
    <x:fill>
      <x:patternFill patternType="solid">
        <x:fgColor theme="7" tint="0.79998"/>
      </x:patternFill>
    </x:fill>
  </x:fills>
  <x:borders count="88">
    <x:border/>
    <x:border>
      <x:left style="medium">
        <x:color indexed="64"/>
      </x:left>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medium">
        <x:color indexed="64"/>
      </x:left>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left style="thin">
        <x:color indexed="64"/>
      </x:left>
      <x:top style="medium">
        <x:color indexed="64"/>
      </x:top>
      <x:bottom style="thin">
        <x:color indexed="64"/>
      </x:bottom>
    </x:border>
    <x:border>
      <x:top style="medium">
        <x:color indexed="64"/>
      </x:top>
      <x:bottom style="thin">
        <x:color indexed="64"/>
      </x:bottom>
    </x:border>
    <x:border>
      <x:right style="medium">
        <x:color indexed="64"/>
      </x:right>
      <x:top style="medium">
        <x:color indexed="64"/>
      </x:top>
      <x:bottom style="thin">
        <x:color indexed="64"/>
      </x:bottom>
    </x:border>
    <x:border>
      <x:left style="medium">
        <x:color indexed="64"/>
      </x:left>
      <x:right style="thin">
        <x:color indexed="64"/>
      </x:right>
    </x:border>
    <x:border>
      <x:left style="thin">
        <x:color indexed="64"/>
      </x:left>
      <x:top style="thin">
        <x:color indexed="64"/>
      </x:top>
      <x:bottom style="thin">
        <x:color indexed="64"/>
      </x:bottom>
    </x:border>
    <x:border>
      <x:top style="thin">
        <x:color indexed="64"/>
      </x:top>
      <x:bottom style="thin">
        <x:color indexed="64"/>
      </x:bottom>
    </x:border>
    <x:border>
      <x:right style="medium">
        <x:color indexed="64"/>
      </x:right>
      <x:top style="thin">
        <x:color indexed="64"/>
      </x:top>
      <x:bottom style="thin">
        <x:color indexed="64"/>
      </x:bottom>
    </x:border>
    <x:border>
      <x:left style="medium">
        <x:color indexed="64"/>
      </x:left>
      <x:right style="thin">
        <x:color indexed="64"/>
      </x:right>
      <x:top style="thin">
        <x:color indexed="64"/>
      </x:top>
    </x:border>
    <x:border>
      <x:left style="thin">
        <x:color indexed="64"/>
      </x:left>
      <x:right style="thin">
        <x:color indexed="64"/>
      </x:right>
      <x:top style="thin">
        <x:color indexed="64"/>
      </x:top>
      <x:bottom style="thin">
        <x:color indexed="64"/>
      </x:bottom>
    </x:border>
    <x:border>
      <x:left style="medium">
        <x:color indexed="64"/>
      </x:left>
      <x:right style="thin">
        <x:color indexed="64"/>
      </x:right>
      <x:bottom style="thin">
        <x:color indexed="64"/>
      </x:bottom>
    </x:border>
    <x:border>
      <x:left style="medium">
        <x:color indexed="64"/>
      </x:left>
      <x:right style="thin">
        <x:color indexed="64"/>
      </x:right>
      <x:top style="thin">
        <x:color indexed="64"/>
      </x:top>
      <x:bottom style="thin">
        <x:color indexed="64"/>
      </x:bottom>
    </x:border>
    <x:border>
      <x:left style="thin">
        <x:color indexed="64"/>
      </x:left>
      <x:right style="medium">
        <x:color indexed="64"/>
      </x:right>
      <x:top style="thin">
        <x:color indexed="64"/>
      </x:top>
      <x:bottom style="thin">
        <x:color indexed="64"/>
      </x:bottom>
    </x:border>
    <x:border>
      <x:left style="thin">
        <x:color indexed="64"/>
      </x:left>
      <x:top style="thin">
        <x:color indexed="64"/>
      </x:top>
      <x:bottom style="medium">
        <x:color indexed="64"/>
      </x:bottom>
    </x:border>
    <x:border>
      <x:top style="thin">
        <x:color indexed="64"/>
      </x:top>
      <x:bottom style="medium">
        <x:color indexed="64"/>
      </x:bottom>
    </x:border>
    <x:border>
      <x:right style="medium">
        <x:color indexed="64"/>
      </x:right>
      <x:top style="thin">
        <x:color indexed="64"/>
      </x:top>
      <x:bottom style="medium">
        <x:color indexed="64"/>
      </x:bottom>
    </x:border>
    <x:border>
      <x:left style="thin">
        <x:color indexed="64"/>
      </x:left>
      <x:top style="medium">
        <x:color indexed="64"/>
      </x:top>
    </x:border>
    <x:border>
      <x:left style="thick">
        <x:color indexed="64"/>
      </x:left>
    </x:border>
    <x:border>
      <x:left style="medium">
        <x:color indexed="64"/>
      </x:left>
      <x:top style="thin">
        <x:color indexed="64"/>
      </x:top>
      <x:bottom style="thin">
        <x:color indexed="64"/>
      </x:bottom>
    </x:border>
    <x:border>
      <x:left style="medium">
        <x:color indexed="64"/>
      </x:left>
      <x:top style="medium">
        <x:color indexed="64"/>
      </x:top>
      <x:bottom style="medium">
        <x:color indexed="64"/>
      </x:bottom>
    </x:border>
    <x:border>
      <x:top style="medium">
        <x:color indexed="64"/>
      </x:top>
      <x:bottom style="medium">
        <x:color indexed="64"/>
      </x:bottom>
    </x:border>
    <x:border>
      <x:right style="medium">
        <x:color indexed="64"/>
      </x:right>
      <x:top style="medium">
        <x:color indexed="64"/>
      </x:top>
      <x:bottom style="medium">
        <x:color indexed="64"/>
      </x:bottom>
    </x:border>
    <x:border>
      <x:right style="thin">
        <x:color indexed="64"/>
      </x:right>
      <x:top style="medium">
        <x:color indexed="64"/>
      </x:top>
      <x:bottom style="thin">
        <x:color indexed="64"/>
      </x:bottom>
    </x:border>
    <x:border>
      <x:left style="thin">
        <x:color indexed="64"/>
      </x:left>
      <x:right style="medium">
        <x:color indexed="64"/>
      </x:right>
      <x:top style="medium">
        <x:color indexed="64"/>
      </x:top>
    </x:border>
    <x:border>
      <x:left style="thin">
        <x:color indexed="64"/>
      </x:left>
      <x:right style="medium">
        <x:color indexed="64"/>
      </x:right>
    </x:border>
    <x:border>
      <x:left style="thin">
        <x:color indexed="64"/>
      </x:left>
      <x:right style="thin">
        <x:color indexed="64"/>
      </x:right>
      <x:top style="thin">
        <x:color indexed="64"/>
      </x:top>
    </x:border>
    <x:border>
      <x:left style="thin">
        <x:color indexed="64"/>
      </x:left>
      <x:right style="medium">
        <x:color indexed="64"/>
      </x:right>
      <x:bottom style="thin">
        <x:color indexed="64"/>
      </x:bottom>
    </x:border>
    <x:border>
      <x:top style="medium">
        <x:color indexed="64"/>
      </x:top>
    </x:border>
    <x:border>
      <x:right style="medium">
        <x:color indexed="64"/>
      </x:right>
      <x:top style="medium">
        <x:color indexed="64"/>
      </x:top>
    </x:border>
    <x:border>
      <x:left style="thin">
        <x:color indexed="64"/>
      </x:left>
    </x:border>
    <x:border>
      <x:right style="medium">
        <x:color indexed="64"/>
      </x:right>
    </x:border>
    <x:border>
      <x:left style="thin">
        <x:color indexed="64"/>
      </x:left>
      <x:bottom style="thin">
        <x:color indexed="64"/>
      </x:bottom>
    </x:border>
    <x:border>
      <x:bottom style="thin">
        <x:color indexed="64"/>
      </x:bottom>
    </x:border>
    <x:border>
      <x:right style="medium">
        <x:color indexed="64"/>
      </x:right>
      <x:bottom style="thin">
        <x:color indexed="64"/>
      </x:bottom>
    </x:border>
    <x:border>
      <x:left style="medium">
        <x:color rgb="000000"/>
      </x:left>
      <x:right style="thin">
        <x:color indexed="64"/>
      </x:right>
      <x:top style="medium">
        <x:color rgb="000000"/>
      </x:top>
      <x:bottom style="thin">
        <x:color indexed="64"/>
      </x:bottom>
    </x:border>
    <x:border>
      <x:left style="thin">
        <x:color indexed="64"/>
      </x:left>
      <x:right style="thin">
        <x:color indexed="64"/>
      </x:right>
      <x:top style="medium">
        <x:color rgb="000000"/>
      </x:top>
      <x:bottom style="thin">
        <x:color indexed="64"/>
      </x:bottom>
    </x:border>
    <x:border>
      <x:left style="thin">
        <x:color indexed="64"/>
      </x:left>
      <x:right style="medium">
        <x:color rgb="000000"/>
      </x:right>
      <x:top style="medium">
        <x:color rgb="000000"/>
      </x:top>
      <x:bottom style="thin">
        <x:color indexed="64"/>
      </x:bottom>
    </x:border>
    <x:border>
      <x:left style="medium">
        <x:color rgb="000000"/>
      </x:left>
      <x:right style="thin">
        <x:color indexed="64"/>
      </x:right>
      <x:top style="thin">
        <x:color indexed="64"/>
      </x:top>
      <x:bottom style="medium">
        <x:color rgb="000000"/>
      </x:bottom>
    </x:border>
    <x:border>
      <x:left style="thin">
        <x:color indexed="64"/>
      </x:left>
      <x:right style="thin">
        <x:color indexed="64"/>
      </x:right>
      <x:top style="thin">
        <x:color indexed="64"/>
      </x:top>
      <x:bottom style="medium">
        <x:color rgb="000000"/>
      </x:bottom>
    </x:border>
    <x:border>
      <x:left style="thin">
        <x:color indexed="64"/>
      </x:left>
      <x:right style="medium">
        <x:color rgb="000000"/>
      </x:right>
      <x:top style="thin">
        <x:color indexed="64"/>
      </x:top>
      <x:bottom style="medium">
        <x:color rgb="000000"/>
      </x:bottom>
    </x:border>
    <x:border>
      <x:left style="thin">
        <x:color indexed="64"/>
      </x:left>
      <x:top style="medium">
        <x:color rgb="000000"/>
      </x:top>
      <x:bottom style="thin">
        <x:color indexed="64"/>
      </x:bottom>
    </x:border>
    <x:border>
      <x:left style="medium">
        <x:color rgb="000000"/>
      </x:left>
      <x:top style="medium">
        <x:color rgb="000000"/>
      </x:top>
      <x:bottom style="thin">
        <x:color indexed="64"/>
      </x:bottom>
    </x:border>
    <x:border>
      <x:top style="medium">
        <x:color rgb="000000"/>
      </x:top>
      <x:bottom style="thin">
        <x:color indexed="64"/>
      </x:bottom>
    </x:border>
    <x:border>
      <x:right style="thin">
        <x:color indexed="64"/>
      </x:right>
      <x:top style="medium">
        <x:color rgb="000000"/>
      </x:top>
      <x:bottom style="thin">
        <x:color indexed="64"/>
      </x:bottom>
    </x:border>
    <x:border>
      <x:right style="medium">
        <x:color rgb="000000"/>
      </x:right>
      <x:top style="medium">
        <x:color rgb="000000"/>
      </x:top>
      <x:bottom style="thin">
        <x:color indexed="64"/>
      </x:bottom>
    </x:border>
    <x:border>
      <x:left style="medium">
        <x:color rgb="000000"/>
      </x:left>
      <x:right style="thin">
        <x:color indexed="64"/>
      </x:right>
      <x:top style="thin">
        <x:color indexed="64"/>
      </x:top>
      <x:bottom style="thin">
        <x:color indexed="64"/>
      </x:bottom>
    </x:border>
    <x:border>
      <x:left style="thin">
        <x:color indexed="64"/>
      </x:left>
      <x:right style="medium">
        <x:color rgb="000000"/>
      </x:right>
      <x:top style="thin">
        <x:color indexed="64"/>
      </x:top>
      <x:bottom style="thin">
        <x:color indexed="64"/>
      </x:bottom>
    </x:border>
    <x:border>
      <x:left style="medium">
        <x:color rgb="000000"/>
      </x:left>
      <x:top style="thin">
        <x:color indexed="64"/>
      </x:top>
      <x:bottom style="thin">
        <x:color indexed="64"/>
      </x:bottom>
    </x:border>
    <x:border>
      <x:right style="medium">
        <x:color rgb="000000"/>
      </x:right>
      <x:top style="thin">
        <x:color indexed="64"/>
      </x:top>
      <x:bottom style="thin">
        <x:color indexed="64"/>
      </x:bottom>
    </x:border>
    <x:border>
      <x:left style="medium">
        <x:color rgb="000000"/>
      </x:left>
      <x:top style="thin">
        <x:color indexed="64"/>
      </x:top>
      <x:bottom style="medium">
        <x:color rgb="000000"/>
      </x:bottom>
    </x:border>
    <x:border>
      <x:top style="thin">
        <x:color indexed="64"/>
      </x:top>
      <x:bottom style="medium">
        <x:color rgb="000000"/>
      </x:bottom>
    </x:border>
    <x:border>
      <x:right style="medium">
        <x:color rgb="000000"/>
      </x:right>
      <x:top style="thin">
        <x:color indexed="64"/>
      </x:top>
      <x:bottom style="medium">
        <x:color rgb="000000"/>
      </x:bottom>
    </x:border>
    <x:border>
      <x:right style="thin">
        <x:color indexed="64"/>
      </x:right>
      <x:top style="thin">
        <x:color indexed="64"/>
      </x:top>
      <x:bottom style="thin">
        <x:color indexed="64"/>
      </x:bottom>
    </x:border>
    <x:border>
      <x:left style="medium">
        <x:color indexed="64"/>
      </x:left>
      <x:right style="medium">
        <x:color indexed="64"/>
      </x:right>
      <x:top style="medium">
        <x:color indexed="64"/>
      </x:top>
    </x:border>
    <x:border>
      <x:left style="medium">
        <x:color indexed="64"/>
      </x:left>
      <x:right style="thin">
        <x:color indexed="64"/>
      </x:right>
      <x:top style="medium">
        <x:color indexed="64"/>
      </x:top>
    </x:border>
    <x:border>
      <x:left style="medium">
        <x:color indexed="64"/>
      </x:left>
      <x:right style="medium">
        <x:color indexed="64"/>
      </x:right>
    </x:border>
    <x:border>
      <x:left style="thin">
        <x:color indexed="64"/>
      </x:left>
      <x:right style="medium">
        <x:color indexed="64"/>
      </x:right>
      <x:top style="thin">
        <x:color indexed="64"/>
      </x:top>
    </x:border>
    <x:border>
      <x:left style="medium">
        <x:color indexed="64"/>
      </x:left>
      <x:right style="medium">
        <x:color indexed="64"/>
      </x:right>
      <x:top style="medium">
        <x:color indexed="64"/>
      </x:top>
      <x:bottom style="medium">
        <x:color indexed="64"/>
      </x:bottom>
    </x:border>
    <x:border>
      <x:left style="medium">
        <x:color indexed="64"/>
      </x:left>
      <x:top style="medium">
        <x:color indexed="64"/>
      </x:top>
    </x:border>
    <x:border>
      <x:left style="medium">
        <x:color indexed="64"/>
      </x:left>
    </x:border>
    <x:border>
      <x:left style="medium">
        <x:color indexed="64"/>
      </x:left>
      <x:bottom style="medium">
        <x:color indexed="64"/>
      </x:bottom>
    </x:border>
    <x:border>
      <x:bottom style="medium">
        <x:color indexed="64"/>
      </x:bottom>
    </x:border>
    <x:border>
      <x:right style="medium">
        <x:color indexed="64"/>
      </x:right>
      <x:bottom style="medium">
        <x:color indexed="64"/>
      </x:bottom>
    </x:border>
    <x:border>
      <x:right style="thin">
        <x:color indexed="64"/>
      </x:right>
      <x:top style="medium">
        <x:color indexed="64"/>
      </x:top>
      <x:bottom style="hair">
        <x:color indexed="64"/>
      </x:bottom>
    </x:border>
    <x:border>
      <x:right style="medium">
        <x:color indexed="64"/>
      </x:right>
      <x:top style="medium">
        <x:color indexed="64"/>
      </x:top>
      <x:bottom style="hair">
        <x:color indexed="64"/>
      </x:bottom>
    </x:border>
    <x:border>
      <x:left style="medium">
        <x:color indexed="64"/>
      </x:left>
      <x:right style="medium">
        <x:color indexed="64"/>
      </x:right>
      <x:bottom style="medium">
        <x:color rgb="000000"/>
      </x:bottom>
    </x:border>
    <x:border>
      <x:right style="medium">
        <x:color indexed="64"/>
      </x:right>
      <x:top style="thin">
        <x:color indexed="64"/>
      </x:top>
    </x:border>
    <x:border>
      <x:right style="medium">
        <x:color indexed="64"/>
      </x:right>
      <x:bottom style="dashed">
        <x:color indexed="64"/>
      </x:bottom>
    </x:border>
    <x:border>
      <x:right style="medium">
        <x:color indexed="64"/>
      </x:right>
      <x:bottom style="dotted">
        <x:color indexed="64"/>
      </x:bottom>
    </x:border>
    <x:border>
      <x:right style="thin">
        <x:color indexed="64"/>
      </x:right>
      <x:top style="thin">
        <x:color indexed="64"/>
      </x:top>
    </x:border>
    <x:border>
      <x:left style="medium">
        <x:color indexed="64"/>
      </x:left>
      <x:right style="thin">
        <x:color indexed="64"/>
      </x:right>
      <x:bottom style="medium">
        <x:color rgb="000000"/>
      </x:bottom>
    </x:border>
    <x:border>
      <x:right style="medium">
        <x:color indexed="64"/>
      </x:right>
      <x:top style="thin">
        <x:color indexed="64"/>
      </x:top>
      <x:bottom style="dotted">
        <x:color indexed="64"/>
      </x:bottom>
    </x:border>
    <x:border>
      <x:right style="medium">
        <x:color indexed="64"/>
      </x:right>
      <x:top style="thin">
        <x:color indexed="64"/>
      </x:top>
      <x:bottom style="dashed">
        <x:color indexed="64"/>
      </x:bottom>
    </x:border>
    <x:border>
      <x:left style="thin">
        <x:color rgb="000000"/>
      </x:left>
      <x:top style="thin">
        <x:color rgb="000000"/>
      </x:top>
      <x:bottom style="thin">
        <x:color rgb="000000"/>
      </x:bottom>
    </x:border>
    <x:border>
      <x:top style="thin">
        <x:color rgb="000000"/>
      </x:top>
      <x:bottom style="thin">
        <x:color rgb="000000"/>
      </x:bottom>
    </x:border>
    <x:border>
      <x:right style="thin">
        <x:color rgb="000000"/>
      </x:right>
      <x:top style="thin">
        <x:color rgb="000000"/>
      </x:top>
      <x:bottom style="thin">
        <x:color rgb="000000"/>
      </x:bottom>
    </x:border>
    <x:border>
      <x:left style="medium">
        <x:color indexed="64"/>
      </x:left>
      <x:right style="medium">
        <x:color indexed="64"/>
      </x:right>
      <x:top style="medium">
        <x:color indexed="64"/>
      </x:top>
      <x:bottom style="thin">
        <x:color indexed="64"/>
      </x:bottom>
    </x:border>
    <x:border>
      <x:left style="medium">
        <x:color indexed="64"/>
      </x:left>
      <x:right style="medium">
        <x:color indexed="64"/>
      </x:right>
      <x:top style="thin">
        <x:color indexed="64"/>
      </x:top>
      <x:bottom style="thin">
        <x:color indexed="64"/>
      </x:bottom>
    </x:border>
    <x:border>
      <x:left style="medium">
        <x:color indexed="64"/>
      </x:left>
      <x:right style="medium">
        <x:color indexed="64"/>
      </x:right>
      <x:top style="thin">
        <x:color indexed="64"/>
      </x:top>
      <x:bottom style="medium">
        <x:color indexed="64"/>
      </x:bottom>
    </x:border>
    <x:border>
      <x:bottom style="medium">
        <x:color rgb="000000"/>
      </x:bottom>
    </x:border>
    <x:border>
      <x:left style="thin">
        <x:color rgb="000000"/>
      </x:left>
      <x:right style="thin">
        <x:color rgb="000000"/>
      </x:right>
      <x:top style="thin">
        <x:color rgb="000000"/>
      </x:top>
      <x:bottom style="thin">
        <x:color rgb="000000"/>
      </x:bottom>
    </x:border>
    <x:border>
      <x:left style="thin">
        <x:color indexed="64"/>
      </x:left>
      <x:right style="thin">
        <x:color indexed="64"/>
      </x:right>
      <x:bottom style="thin">
        <x:color indexed="64"/>
      </x:bottom>
    </x:border>
  </x:borders>
  <x:cellStyleXfs count="2">
    <x:xf numFmtId="0" fontId="0" fillId="0" borderId="0">
      <x:alignment vertical="center"/>
    </x:xf>
    <x:xf numFmtId="0" fontId="2" fillId="0" borderId="0"/>
  </x:cellStyleXfs>
  <x:cellXfs count="305">
    <x:xf numFmtId="0" fontId="0" fillId="0" borderId="0" xfId="0">
      <x:alignment vertical="center"/>
    </x:xf>
    <x:xf numFmtId="0" fontId="6" fillId="0" borderId="0" xfId="1" applyFont="1" applyAlignment="1">
      <x:alignment horizontal="left" vertical="top"/>
    </x:xf>
    <x:xf numFmtId="0" fontId="2" fillId="0" borderId="0" xfId="1" applyAlignment="1">
      <x:alignment horizontal="left" vertical="top"/>
    </x:xf>
    <x:xf numFmtId="0" fontId="7" fillId="0" borderId="0" xfId="1" applyFont="1" applyAlignment="1">
      <x:alignment horizontal="left" vertical="top"/>
    </x:xf>
    <x:xf numFmtId="0" fontId="3" fillId="0" borderId="0" xfId="1" applyFont="1" applyAlignment="1">
      <x:alignment vertical="top"/>
    </x:xf>
    <x:xf numFmtId="0" fontId="7" fillId="0" borderId="0" xfId="1" applyFont="1" applyAlignment="1">
      <x:alignment vertical="top"/>
    </x:xf>
    <x:xf numFmtId="0" fontId="3" fillId="0" borderId="0" xfId="1" applyFont="1" applyAlignment="1">
      <x:alignment horizontal="left" vertical="top"/>
    </x:xf>
    <x:xf numFmtId="0" fontId="11" fillId="0" borderId="0" xfId="1" applyFont="1" applyAlignment="1">
      <x:alignment vertical="top"/>
    </x:xf>
    <x:xf numFmtId="0" fontId="7" fillId="2" borderId="0" xfId="1" applyFont="1" applyFill="1" applyAlignment="1">
      <x:alignment horizontal="left" vertical="top"/>
    </x:xf>
    <x:xf numFmtId="0" fontId="3" fillId="0" borderId="15" xfId="1" applyFont="1" applyBorder="1" applyAlignment="1">
      <x:alignment horizontal="left" vertical="top" wrapText="1"/>
    </x:xf>
    <x:xf numFmtId="0" fontId="3" fillId="0" borderId="18" xfId="1" applyFont="1" applyBorder="1" applyAlignment="1">
      <x:alignment horizontal="left" vertical="top" wrapText="1"/>
    </x:xf>
    <x:xf numFmtId="0" fontId="15" fillId="0" borderId="0" xfId="1" applyFont="1" applyAlignment="1">
      <x:alignment horizontal="left" vertical="top"/>
    </x:xf>
    <x:xf numFmtId="0" fontId="17" fillId="0" borderId="0" xfId="0" applyFont="1">
      <x:alignment vertical="center"/>
    </x:xf>
    <x:xf numFmtId="0" fontId="7" fillId="0" borderId="15" xfId="1" applyFont="1" applyBorder="1" applyAlignment="1">
      <x:alignment horizontal="left" vertical="top" wrapText="1"/>
    </x:xf>
    <x:xf numFmtId="0" fontId="0" fillId="0" borderId="0" xfId="0" applyAlignment="1">
      <x:alignment vertical="center" wrapText="1"/>
    </x:xf>
    <x:xf numFmtId="0" fontId="0" fillId="0" borderId="0" xfId="0" applyAlignment="1">
      <x:alignment vertical="top"/>
    </x:xf>
    <x:xf numFmtId="0" fontId="17" fillId="0" borderId="15" xfId="0" applyFont="1" applyBorder="1" applyAlignment="1">
      <x:alignment vertical="top" wrapText="1"/>
    </x:xf>
    <x:xf numFmtId="0" fontId="17" fillId="0" borderId="18" xfId="0" applyFont="1" applyBorder="1" applyAlignment="1">
      <x:alignment horizontal="left" vertical="top" wrapText="1"/>
    </x:xf>
    <x:xf numFmtId="0" fontId="17" fillId="0" borderId="6" xfId="0" applyFont="1" applyBorder="1" applyAlignment="1">
      <x:alignment horizontal="left" vertical="top" wrapText="1"/>
    </x:xf>
    <x:xf numFmtId="0" fontId="17" fillId="0" borderId="0" xfId="0" applyFont="1" applyAlignment="1">
      <x:alignment horizontal="left" vertical="top" wrapText="1"/>
    </x:xf>
    <x:xf numFmtId="0" fontId="18" fillId="3" borderId="2" xfId="0" applyFont="1" applyFill="1" applyBorder="1" applyAlignment="1">
      <x:alignment horizontal="left" vertical="top" wrapText="1"/>
    </x:xf>
    <x:xf numFmtId="0" fontId="17" fillId="0" borderId="5" xfId="0" applyFont="1" applyBorder="1" applyAlignment="1">
      <x:alignment horizontal="left" vertical="top" wrapText="1"/>
    </x:xf>
    <x:xf numFmtId="0" fontId="17" fillId="5" borderId="15" xfId="0" applyFont="1" applyFill="1" applyBorder="1" applyAlignment="1">
      <x:alignment vertical="top" wrapText="1"/>
    </x:xf>
    <x:xf numFmtId="0" fontId="24" fillId="0" borderId="0" xfId="0" applyFont="1">
      <x:alignment vertical="center"/>
    </x:xf>
    <x:xf numFmtId="0" fontId="25" fillId="0" borderId="0" xfId="0" applyFont="1">
      <x:alignment vertical="center"/>
    </x:xf>
    <x:xf numFmtId="0" fontId="26" fillId="0" borderId="0" xfId="0" applyFont="1" applyAlignment="1">
      <x:alignment horizontal="center" vertical="center"/>
    </x:xf>
    <x:xf numFmtId="0" fontId="29" fillId="0" borderId="0" xfId="0" applyFont="1">
      <x:alignment vertical="center"/>
    </x:xf>
    <x:xf numFmtId="0" fontId="28" fillId="0" borderId="0" xfId="0" applyFont="1" applyAlignment="1">
      <x:alignment horizontal="center" vertical="center"/>
    </x:xf>
    <x:xf numFmtId="0" fontId="28" fillId="0" borderId="0" xfId="0" applyFont="1">
      <x:alignment vertical="center"/>
    </x:xf>
    <x:xf numFmtId="0" fontId="29" fillId="0" borderId="0" xfId="0" applyFont="1" applyAlignment="1">
      <x:alignment vertical="center" wrapText="1"/>
    </x:xf>
    <x:xf numFmtId="0" fontId="31" fillId="0" borderId="0" xfId="0" applyFont="1" applyAlignment="1">
      <x:alignment vertical="top" wrapText="1"/>
    </x:xf>
    <x:xf numFmtId="0" fontId="30" fillId="0" borderId="63" xfId="0" applyFont="1" applyBorder="1" applyAlignment="1">
      <x:alignment vertical="center" wrapText="1"/>
    </x:xf>
    <x:xf numFmtId="0" fontId="28" fillId="0" borderId="0" xfId="0" applyFont="1" applyAlignment="1">
      <x:alignment horizontal="left" vertical="center" wrapText="1"/>
    </x:xf>
    <x:xf numFmtId="0" fontId="28" fillId="0" borderId="0" xfId="0" applyFont="1" applyAlignment="1">
      <x:alignment horizontal="left" vertical="center"/>
    </x:xf>
    <x:xf numFmtId="0" fontId="31" fillId="6" borderId="63" xfId="0" applyFont="1" applyFill="1" applyBorder="1" applyAlignment="1">
      <x:alignment horizontal="left" vertical="center" wrapText="1"/>
    </x:xf>
    <x:xf numFmtId="0" fontId="34" fillId="0" borderId="0" xfId="0" applyFont="1">
      <x:alignment vertical="center"/>
    </x:xf>
    <x:xf numFmtId="0" fontId="17" fillId="0" borderId="31" xfId="0" applyFont="1" applyBorder="1" applyAlignment="1">
      <x:alignment horizontal="left" vertical="top" wrapText="1"/>
    </x:xf>
    <x:xf numFmtId="0" fontId="17" fillId="0" borderId="62" xfId="0" applyFont="1" applyBorder="1" applyAlignment="1">
      <x:alignment horizontal="left" vertical="top" wrapText="1"/>
    </x:xf>
    <x:xf numFmtId="0" fontId="36" fillId="2" borderId="0" xfId="1" applyFont="1" applyFill="1" applyAlignment="1">
      <x:alignment horizontal="left" vertical="top"/>
    </x:xf>
    <x:xf numFmtId="0" fontId="36" fillId="0" borderId="0" xfId="1" applyFont="1" applyAlignment="1">
      <x:alignment horizontal="left" vertical="top"/>
    </x:xf>
    <x:xf numFmtId="0" fontId="24" fillId="0" borderId="59" xfId="0" applyFont="1" applyBorder="1">
      <x:alignment vertical="center"/>
    </x:xf>
    <x:xf numFmtId="0" fontId="28" fillId="8" borderId="69" xfId="0" applyFont="1" applyFill="1" applyBorder="1">
      <x:alignment vertical="center"/>
    </x:xf>
    <x:xf numFmtId="0" fontId="28" fillId="9" borderId="70" xfId="0" applyFont="1" applyFill="1" applyBorder="1">
      <x:alignment vertical="center"/>
    </x:xf>
    <x:xf numFmtId="0" fontId="28" fillId="10" borderId="34" xfId="0" applyFont="1" applyFill="1" applyBorder="1">
      <x:alignment vertical="center"/>
    </x:xf>
    <x:xf numFmtId="0" fontId="28" fillId="11" borderId="34" xfId="0" applyFont="1" applyFill="1" applyBorder="1" applyAlignment="1">
      <x:alignment vertical="center" wrapText="1"/>
    </x:xf>
    <x:xf numFmtId="0" fontId="28" fillId="9" borderId="34" xfId="0" applyFont="1" applyFill="1" applyBorder="1">
      <x:alignment vertical="center"/>
    </x:xf>
    <x:xf numFmtId="0" fontId="30" fillId="0" borderId="9" xfId="0" applyFont="1" applyBorder="1" applyAlignment="1">
      <x:alignment vertical="center" wrapText="1"/>
    </x:xf>
    <x:xf numFmtId="0" fontId="31" fillId="11" borderId="9" xfId="0" applyFont="1" applyFill="1" applyBorder="1" applyAlignment="1">
      <x:alignment vertical="center" wrapText="1"/>
    </x:xf>
    <x:xf numFmtId="0" fontId="28" fillId="9" borderId="72" xfId="0" applyFont="1" applyFill="1" applyBorder="1">
      <x:alignment vertical="center"/>
    </x:xf>
    <x:xf numFmtId="0" fontId="30" fillId="0" borderId="39" xfId="0" applyFont="1" applyBorder="1" applyAlignment="1">
      <x:alignment vertical="center" wrapText="1"/>
    </x:xf>
    <x:xf numFmtId="0" fontId="31" fillId="11" borderId="39" xfId="0" applyFont="1" applyFill="1" applyBorder="1" applyAlignment="1">
      <x:alignment vertical="center" wrapText="1"/>
    </x:xf>
    <x:xf numFmtId="0" fontId="30" fillId="0" borderId="73" xfId="0" applyFont="1" applyBorder="1" applyAlignment="1">
      <x:alignment vertical="center" wrapText="1"/>
    </x:xf>
    <x:xf numFmtId="0" fontId="31" fillId="11" borderId="74" xfId="0" applyFont="1" applyFill="1" applyBorder="1" applyAlignment="1">
      <x:alignment vertical="center" wrapText="1"/>
    </x:xf>
    <x:xf numFmtId="0" fontId="32" fillId="11" borderId="73" xfId="0" applyFont="1" applyFill="1" applyBorder="1" applyAlignment="1">
      <x:alignment vertical="center" wrapText="1"/>
    </x:xf>
    <x:xf numFmtId="0" fontId="31" fillId="11" borderId="13" xfId="0" applyFont="1" applyFill="1" applyBorder="1" applyAlignment="1">
      <x:alignment vertical="center" wrapText="1"/>
    </x:xf>
    <x:xf numFmtId="0" fontId="28" fillId="8" borderId="75" xfId="0" applyFont="1" applyFill="1" applyBorder="1">
      <x:alignment vertical="center"/>
    </x:xf>
    <x:xf numFmtId="0" fontId="31" fillId="11" borderId="73" xfId="0" applyFont="1" applyFill="1" applyBorder="1" applyAlignment="1">
      <x:alignment vertical="center" wrapText="1"/>
    </x:xf>
    <x:xf numFmtId="0" fontId="28" fillId="9" borderId="72" xfId="0" applyFont="1" applyFill="1" applyBorder="1" applyAlignment="1">
      <x:alignment vertical="center" wrapText="1"/>
    </x:xf>
    <x:xf numFmtId="0" fontId="31" fillId="11" borderId="77" xfId="0" applyFont="1" applyFill="1" applyBorder="1" applyAlignment="1">
      <x:alignment vertical="center" wrapText="1"/>
    </x:xf>
    <x:xf numFmtId="0" fontId="31" fillId="11" borderId="78" xfId="0" applyFont="1" applyFill="1" applyBorder="1" applyAlignment="1">
      <x:alignment vertical="center" wrapText="1"/>
    </x:xf>
    <x:xf numFmtId="0" fontId="28" fillId="9" borderId="13" xfId="0" applyFont="1" applyFill="1" applyBorder="1">
      <x:alignment vertical="center"/>
    </x:xf>
    <x:xf numFmtId="0" fontId="31" fillId="11" borderId="72" xfId="0" applyFont="1" applyFill="1" applyBorder="1" applyAlignment="1">
      <x:alignment vertical="center" wrapText="1"/>
    </x:xf>
    <x:xf numFmtId="0" fontId="28" fillId="9" borderId="39" xfId="0" applyFont="1" applyFill="1" applyBorder="1" applyAlignment="1">
      <x:alignment vertical="center" wrapText="1"/>
    </x:xf>
    <x:xf numFmtId="0" fontId="31" fillId="11" borderId="21" xfId="0" applyFont="1" applyFill="1" applyBorder="1" applyAlignment="1">
      <x:alignment vertical="center" wrapText="1"/>
    </x:xf>
    <x:xf numFmtId="0" fontId="37" fillId="0" borderId="39" xfId="0" applyFont="1" applyBorder="1" applyAlignment="1">
      <x:alignment vertical="center" wrapText="1"/>
    </x:xf>
    <x:xf numFmtId="0" fontId="28" fillId="13" borderId="72" xfId="0" applyFont="1" applyFill="1" applyBorder="1">
      <x:alignment vertical="center"/>
    </x:xf>
    <x:xf numFmtId="0" fontId="30" fillId="13" borderId="73" xfId="0" applyFont="1" applyFill="1" applyBorder="1" applyAlignment="1">
      <x:alignment vertical="center" wrapText="1"/>
    </x:xf>
    <x:xf numFmtId="0" fontId="28" fillId="13" borderId="68" xfId="0" applyFont="1" applyFill="1" applyBorder="1" applyAlignment="1">
      <x:alignment vertical="center" wrapText="1"/>
    </x:xf>
    <x:xf numFmtId="0" fontId="30" fillId="13" borderId="68" xfId="0" applyFont="1" applyFill="1" applyBorder="1" applyAlignment="1">
      <x:alignment vertical="center" wrapText="1"/>
    </x:xf>
    <x:xf numFmtId="0" fontId="32" fillId="11" borderId="68" xfId="0" applyFont="1" applyFill="1" applyBorder="1" applyAlignment="1">
      <x:alignment vertical="center" wrapText="1"/>
    </x:xf>
    <x:xf numFmtId="0" fontId="30" fillId="13" borderId="63" xfId="0" applyFont="1" applyFill="1" applyBorder="1" applyAlignment="1">
      <x:alignment vertical="center" wrapText="1"/>
    </x:xf>
    <x:xf numFmtId="0" fontId="32" fillId="6" borderId="63" xfId="0" applyFont="1" applyFill="1" applyBorder="1" applyAlignment="1">
      <x:alignment vertical="center" wrapText="1"/>
    </x:xf>
    <x:xf numFmtId="0" fontId="32" fillId="11" borderId="78" xfId="0" applyFont="1" applyFill="1" applyBorder="1" applyAlignment="1">
      <x:alignment vertical="center" wrapText="1"/>
    </x:xf>
    <x:xf numFmtId="0" fontId="6" fillId="0" borderId="0" xfId="1" applyFont="1" applyAlignment="1">
      <x:alignment horizontal="left" vertical="top" wrapText="1"/>
    </x:xf>
    <x:xf numFmtId="0" fontId="7" fillId="0" borderId="0" xfId="1" applyFont="1" applyAlignment="1">
      <x:alignment horizontal="left" vertical="top" wrapText="1"/>
    </x:xf>
    <x:xf numFmtId="0" fontId="39" fillId="0" borderId="0" xfId="0" applyFont="1">
      <x:alignment vertical="center"/>
    </x:xf>
    <x:xf numFmtId="0" fontId="18" fillId="3" borderId="1" xfId="0" applyFont="1" applyFill="1" applyBorder="1" applyAlignment="1">
      <x:alignment horizontal="left" vertical="top" wrapText="1"/>
    </x:xf>
    <x:xf numFmtId="0" fontId="18" fillId="3" borderId="3" xfId="0" applyFont="1" applyFill="1" applyBorder="1" applyAlignment="1">
      <x:alignment horizontal="left" vertical="top" wrapText="1"/>
    </x:xf>
    <x:xf numFmtId="0" fontId="18" fillId="0" borderId="0" xfId="0" applyFont="1" applyAlignment="1">
      <x:alignment horizontal="left" vertical="top" wrapText="1"/>
    </x:xf>
    <x:xf numFmtId="0" fontId="0" fillId="0" borderId="0" xfId="0" applyAlignment="1">
      <x:alignment horizontal="left" vertical="center" wrapText="1"/>
    </x:xf>
    <x:xf numFmtId="0" fontId="17" fillId="0" borderId="17" xfId="0" applyFont="1" applyBorder="1" applyAlignment="1">
      <x:alignment horizontal="left" vertical="top" wrapText="1"/>
    </x:xf>
    <x:xf numFmtId="0" fontId="0" fillId="0" borderId="0" xfId="0" applyAlignment="1">
      <x:alignment horizontal="left" vertical="top" wrapText="1"/>
    </x:xf>
    <x:xf numFmtId="0" fontId="17" fillId="0" borderId="14" xfId="0" applyFont="1" applyBorder="1" applyAlignment="1">
      <x:alignment horizontal="left" vertical="top" wrapText="1"/>
    </x:xf>
    <x:xf numFmtId="0" fontId="17" fillId="0" borderId="4" xfId="0" applyFont="1" applyBorder="1" applyAlignment="1">
      <x:alignment horizontal="left" vertical="top" wrapText="1"/>
    </x:xf>
    <x:xf numFmtId="0" fontId="3" fillId="0" borderId="51" xfId="1" applyFont="1" applyBorder="1" applyAlignment="1">
      <x:alignment horizontal="left" vertical="top" wrapText="1"/>
    </x:xf>
    <x:xf numFmtId="0" fontId="3" fillId="0" borderId="52" xfId="1" applyFont="1" applyBorder="1" applyAlignment="1">
      <x:alignment horizontal="left" vertical="top" wrapText="1"/>
    </x:xf>
    <x:xf numFmtId="0" fontId="7" fillId="0" borderId="17" xfId="1" applyFont="1" applyBorder="1" applyAlignment="1">
      <x:alignment horizontal="left" vertical="top" wrapText="1"/>
    </x:xf>
    <x:xf numFmtId="0" fontId="17" fillId="0" borderId="0" xfId="0" applyFont="1" applyAlignment="1">
      <x:alignment horizontal="left" vertical="top"/>
    </x:xf>
    <x:xf numFmtId="0" fontId="0" fillId="0" borderId="0" xfId="0" applyAlignment="1">
      <x:alignment horizontal="left" vertical="center"/>
    </x:xf>
    <x:xf numFmtId="0" fontId="40" fillId="0" borderId="0" xfId="0" applyFont="1">
      <x:alignment vertical="center"/>
    </x:xf>
    <x:xf numFmtId="0" fontId="17" fillId="0" borderId="86" xfId="0" applyFont="1" applyBorder="1" applyAlignment="1">
      <x:alignment vertical="top" wrapText="1"/>
    </x:xf>
    <x:xf numFmtId="0" fontId="17" fillId="0" borderId="31" xfId="0" applyFont="1" applyBorder="1" applyAlignment="1">
      <x:alignment vertical="top" wrapText="1"/>
    </x:xf>
    <x:xf numFmtId="0" fontId="17" fillId="0" borderId="87" xfId="0" applyFont="1" applyBorder="1" applyAlignment="1">
      <x:alignment vertical="top" wrapText="1"/>
    </x:xf>
    <x:xf numFmtId="0" fontId="41" fillId="0" borderId="0" xfId="0" applyFont="1">
      <x:alignment vertical="center"/>
    </x:xf>
    <x:xf numFmtId="0" fontId="17" fillId="0" borderId="81" xfId="0" applyFont="1" applyBorder="1" applyAlignment="1">
      <x:alignment vertical="top" wrapText="1"/>
    </x:xf>
    <x:xf numFmtId="0" fontId="32" fillId="11" borderId="9" xfId="0" applyFont="1" applyFill="1" applyBorder="1" applyAlignment="1">
      <x:alignment vertical="center" wrapText="1"/>
    </x:xf>
    <x:xf numFmtId="0" fontId="32" fillId="11" borderId="39" xfId="0" applyFont="1" applyFill="1" applyBorder="1" applyAlignment="1">
      <x:alignment vertical="center" wrapText="1"/>
    </x:xf>
    <x:xf numFmtId="0" fontId="32" fillId="11" borderId="77" xfId="0" applyFont="1" applyFill="1" applyBorder="1" applyAlignment="1">
      <x:alignment vertical="center" wrapText="1"/>
    </x:xf>
    <x:xf numFmtId="0" fontId="32" fillId="11" borderId="13" xfId="0" applyFont="1" applyFill="1" applyBorder="1" applyAlignment="1">
      <x:alignment vertical="center" wrapText="1"/>
    </x:xf>
    <x:xf numFmtId="0" fontId="17" fillId="0" borderId="15" xfId="0" applyFont="1" applyBorder="1" applyAlignment="1">
      <x:alignment horizontal="left" vertical="top" wrapText="1"/>
    </x:xf>
    <x:xf numFmtId="0" fontId="17" fillId="5" borderId="15" xfId="0" applyFont="1" applyFill="1" applyBorder="1" applyAlignment="1">
      <x:alignment horizontal="left" vertical="top" wrapText="1"/>
    </x:xf>
    <x:xf numFmtId="0" fontId="17" fillId="0" borderId="11" xfId="0" applyFont="1" applyBorder="1" applyAlignment="1">
      <x:alignment vertical="top" wrapText="1"/>
    </x:xf>
    <x:xf numFmtId="0" fontId="3" fillId="0" borderId="11" xfId="1" applyFont="1" applyBorder="1" applyAlignment="1">
      <x:alignment horizontal="left" vertical="top" wrapText="1"/>
    </x:xf>
    <x:xf numFmtId="0" fontId="17" fillId="0" borderId="0" xfId="0" applyFont="1" applyAlignment="1">
      <x:alignment horizontal="left" vertical="center" wrapText="1"/>
    </x:xf>
    <x:xf numFmtId="0" fontId="3" fillId="4" borderId="39" xfId="1" applyFont="1" applyFill="1" applyBorder="1" applyAlignment="1">
      <x:alignment horizontal="center" vertical="top" wrapText="1"/>
    </x:xf>
    <x:xf numFmtId="0" fontId="45" fillId="0" borderId="13" xfId="0" applyFont="1" applyBorder="1" applyAlignment="1">
      <x:alignment vertical="center" wrapText="1"/>
    </x:xf>
    <x:xf numFmtId="0" fontId="31" fillId="11" borderId="83" xfId="0" applyFont="1" applyFill="1" applyBorder="1" applyAlignment="1">
      <x:alignment vertical="center" wrapText="1"/>
    </x:xf>
    <x:xf numFmtId="0" fontId="31" fillId="6" borderId="63" xfId="0" applyFont="1" applyFill="1" applyBorder="1" applyAlignment="1">
      <x:alignment vertical="top" wrapText="1"/>
    </x:xf>
    <x:xf numFmtId="0" fontId="7" fillId="0" borderId="15" xfId="1" applyFont="1" applyBorder="1" applyAlignment="1">
      <x:alignment horizontal="center" vertical="top"/>
      <x:extLst>
        <x:ext uri="{C7286773-470A-42A8-94C5-96B5CB345126}">
          <xfpb:xfComplement xmlns:xfpb="http://schemas.microsoft.com/office/spreadsheetml/2022/featurepropertybag" i="0"/>
        </x:ext>
      </x:extLst>
    </x:xf>
    <x:xf numFmtId="0" fontId="3" fillId="0" borderId="15" xfId="1" applyFont="1" applyBorder="1" applyAlignment="1">
      <x:alignment horizontal="left" vertical="top" wrapText="1"/>
    </x:xf>
    <x:xf numFmtId="0" fontId="3" fillId="0" borderId="15" xfId="1" applyFont="1" applyBorder="1" applyAlignment="1">
      <x:alignment horizontal="center" vertical="top"/>
      <x:extLst>
        <x:ext uri="{C7286773-470A-42A8-94C5-96B5CB345126}">
          <xfpb:xfComplement xmlns:xfpb="http://schemas.microsoft.com/office/spreadsheetml/2022/featurepropertybag" i="0"/>
        </x:ext>
      </x:extLst>
    </x:xf>
    <x:xf numFmtId="0" fontId="3" fillId="0" borderId="2" xfId="1" applyFont="1" applyBorder="1" applyAlignment="1">
      <x:alignment horizontal="center" vertical="top" wrapText="1"/>
      <x:extLst>
        <x:ext uri="{C7286773-470A-42A8-94C5-96B5CB345126}">
          <xfpb:xfComplement xmlns:xfpb="http://schemas.microsoft.com/office/spreadsheetml/2022/featurepropertybag" i="0"/>
        </x:ext>
      </x:extLst>
    </x:xf>
    <x:xf numFmtId="0" fontId="11" fillId="0" borderId="2" xfId="1" applyFont="1" applyBorder="1" applyAlignment="1">
      <x:alignment horizontal="center" vertical="top" wrapText="1"/>
      <x:extLst>
        <x:ext uri="{C7286773-470A-42A8-94C5-96B5CB345126}">
          <xfpb:xfComplement xmlns:xfpb="http://schemas.microsoft.com/office/spreadsheetml/2022/featurepropertybag" i="0"/>
        </x:ext>
      </x:extLst>
    </x:xf>
    <x:xf numFmtId="0" fontId="6" fillId="0" borderId="15" xfId="1" applyFont="1" applyBorder="1" applyAlignment="1">
      <x:alignment horizontal="center" vertical="top"/>
      <x:extLst>
        <x:ext uri="{C7286773-470A-42A8-94C5-96B5CB345126}">
          <xfpb:xfComplement xmlns:xfpb="http://schemas.microsoft.com/office/spreadsheetml/2022/featurepropertybag" i="0"/>
        </x:ext>
      </x:extLst>
    </x:xf>
    <x:xf numFmtId="0" fontId="16" fillId="0" borderId="15" xfId="1" applyFont="1" applyBorder="1" applyAlignment="1">
      <x:alignment horizontal="center" vertical="top" wrapText="1"/>
      <x:extLst>
        <x:ext uri="{C7286773-470A-42A8-94C5-96B5CB345126}">
          <xfpb:xfComplement xmlns:xfpb="http://schemas.microsoft.com/office/spreadsheetml/2022/featurepropertybag" i="0"/>
        </x:ext>
      </x:extLst>
    </x:xf>
    <x:xf numFmtId="0" fontId="11" fillId="0" borderId="15" xfId="1" applyFont="1" applyBorder="1" applyAlignment="1">
      <x:alignment horizontal="center" vertical="top" wrapText="1"/>
      <x:extLst>
        <x:ext uri="{C7286773-470A-42A8-94C5-96B5CB345126}">
          <xfpb:xfComplement xmlns:xfpb="http://schemas.microsoft.com/office/spreadsheetml/2022/featurepropertybag" i="0"/>
        </x:ext>
      </x:extLst>
    </x:xf>
    <x:xf numFmtId="0" fontId="3" fillId="0" borderId="15" xfId="1" applyFont="1" applyBorder="1" applyAlignment="1">
      <x:alignment horizontal="center" vertical="top" wrapText="1"/>
      <x:extLst>
        <x:ext uri="{C7286773-470A-42A8-94C5-96B5CB345126}">
          <xfpb:xfComplement xmlns:xfpb="http://schemas.microsoft.com/office/spreadsheetml/2022/featurepropertybag" i="0"/>
        </x:ext>
      </x:extLst>
    </x:xf>
    <x:xf numFmtId="0" fontId="2" fillId="3" borderId="0" xfId="1" applyFill="1" applyAlignment="1">
      <x:alignment horizontal="left" vertical="top"/>
    </x:xf>
    <x:xf numFmtId="0" fontId="2" fillId="14" borderId="0" xfId="1" applyFill="1" applyAlignment="1">
      <x:alignment horizontal="left" vertical="top"/>
    </x:xf>
    <x:xf numFmtId="0" fontId="3" fillId="0" borderId="83" xfId="1" applyFont="1" applyBorder="1" applyAlignment="1">
      <x:alignment horizontal="left" vertical="top" wrapText="1"/>
    </x:xf>
    <x:xf numFmtId="0" fontId="43" fillId="0" borderId="83" xfId="1" applyFont="1" applyBorder="1" applyAlignment="1">
      <x:alignment horizontal="left" vertical="top" wrapText="1"/>
    </x:xf>
    <x:xf numFmtId="0" fontId="3" fillId="0" borderId="63" xfId="1" applyFont="1" applyBorder="1" applyAlignment="1">
      <x:alignment horizontal="left" vertical="top" wrapText="1"/>
    </x:xf>
    <x:xf numFmtId="0" fontId="3" fillId="0" borderId="82" xfId="1" applyFont="1" applyBorder="1" applyAlignment="1">
      <x:alignment horizontal="left" vertical="top" wrapText="1"/>
    </x:xf>
    <x:xf numFmtId="0" fontId="11" fillId="0" borderId="0" xfId="1" applyFont="1" applyAlignment="1">
      <x:alignment horizontal="left" vertical="top"/>
    </x:xf>
    <x:xf numFmtId="0" fontId="3" fillId="0" borderId="40" xfId="1" applyFont="1" applyBorder="1" applyAlignment="1">
      <x:alignment horizontal="left" vertical="top" wrapText="1"/>
    </x:xf>
    <x:xf numFmtId="0" fontId="9" fillId="0" borderId="0" xfId="1" applyFont="1" applyAlignment="1">
      <x:alignment vertical="top"/>
    </x:xf>
    <x:xf numFmtId="0" fontId="4" fillId="0" borderId="0" xfId="1" applyFont="1" applyAlignment="1">
      <x:alignment vertical="top" wrapText="1"/>
    </x:xf>
    <x:xf numFmtId="0" fontId="4" fillId="0" borderId="0" xfId="1" applyFont="1" applyAlignment="1">
      <x:alignment horizontal="center" vertical="top" wrapText="1"/>
    </x:xf>
    <x:xf numFmtId="0" fontId="7" fillId="4" borderId="43" xfId="1" applyFont="1" applyFill="1" applyBorder="1" applyAlignment="1">
      <x:alignment horizontal="left" vertical="top" wrapText="1"/>
    </x:xf>
    <x:xf numFmtId="176" fontId="7" fillId="0" borderId="0" xfId="1" applyNumberFormat="1" applyFont="1" applyAlignment="1">
      <x:alignment vertical="top"/>
    </x:xf>
    <x:xf numFmtId="0" fontId="8" fillId="0" borderId="0" xfId="1" applyFont="1" applyAlignment="1">
      <x:alignment horizontal="center" vertical="top" wrapText="1"/>
    </x:xf>
    <x:xf numFmtId="176" fontId="7" fillId="0" borderId="0" xfId="1" applyNumberFormat="1" applyFont="1" applyAlignment="1">
      <x:alignment horizontal="center" vertical="top"/>
    </x:xf>
    <x:xf numFmtId="0" fontId="7" fillId="0" borderId="0" xfId="1" applyFont="1" applyAlignment="1">
      <x:alignment horizontal="center" vertical="top"/>
    </x:xf>
    <x:xf numFmtId="0" fontId="3" fillId="0" borderId="1" xfId="1" applyFont="1" applyBorder="1" applyAlignment="1">
      <x:alignment horizontal="center" vertical="top" wrapText="1"/>
    </x:xf>
    <x:xf numFmtId="0" fontId="3" fillId="0" borderId="10" xfId="1" applyFont="1" applyBorder="1" applyAlignment="1">
      <x:alignment horizontal="center" vertical="top" wrapText="1"/>
    </x:xf>
    <x:xf numFmtId="0" fontId="4" fillId="0" borderId="16" xfId="1" applyFont="1" applyBorder="1" applyAlignment="1">
      <x:alignment horizontal="center" vertical="top" wrapText="1"/>
    </x:xf>
    <x:xf numFmtId="0" fontId="4" fillId="0" borderId="17" xfId="1" applyFont="1" applyBorder="1" applyAlignment="1">
      <x:alignment horizontal="center" vertical="top" wrapText="1"/>
    </x:xf>
    <x:xf numFmtId="0" fontId="4" fillId="0" borderId="4" xfId="1" applyFont="1" applyBorder="1" applyAlignment="1">
      <x:alignment horizontal="center" vertical="top" wrapText="1"/>
    </x:xf>
    <x:xf numFmtId="0" fontId="3" fillId="0" borderId="17" xfId="1" applyFont="1" applyBorder="1" applyAlignment="1">
      <x:alignment horizontal="center" vertical="top" wrapText="1"/>
    </x:xf>
    <x:xf numFmtId="0" fontId="3" fillId="0" borderId="15" xfId="1" applyFont="1" applyBorder="1" applyAlignment="1">
      <x:alignment horizontal="left" vertical="top"/>
    </x:xf>
    <x:xf numFmtId="0" fontId="44" fillId="0" borderId="4" xfId="1" applyFont="1" applyBorder="1" applyAlignment="1">
      <x:alignment horizontal="center" vertical="top" wrapText="1"/>
    </x:xf>
    <x:xf numFmtId="0" fontId="7" fillId="0" borderId="5" xfId="1" applyFont="1" applyBorder="1" applyAlignment="1">
      <x:alignment horizontal="left" vertical="top"/>
    </x:xf>
    <x:xf numFmtId="0" fontId="3" fillId="0" borderId="2" xfId="1" applyFont="1" applyBorder="1" applyAlignment="1">
      <x:alignment vertical="top" wrapText="1"/>
    </x:xf>
    <x:xf numFmtId="0" fontId="21" fillId="0" borderId="3" xfId="1" applyFont="1" applyBorder="1" applyAlignment="1">
      <x:alignment horizontal="left" vertical="top" wrapText="1"/>
    </x:xf>
    <x:xf numFmtId="0" fontId="16" fillId="0" borderId="0" xfId="1" applyFont="1" applyAlignment="1">
      <x:alignment horizontal="left" vertical="top" wrapText="1"/>
    </x:xf>
    <x:xf numFmtId="0" fontId="21" fillId="0" borderId="15" xfId="1" applyFont="1" applyBorder="1" applyAlignment="1">
      <x:alignment horizontal="left" vertical="top" wrapText="1"/>
    </x:xf>
    <x:xf numFmtId="0" fontId="3" fillId="0" borderId="15" xfId="1" applyFont="1" applyBorder="1" applyAlignment="1">
      <x:alignment vertical="top" wrapText="1"/>
    </x:xf>
    <x:xf numFmtId="0" fontId="3" fillId="0" borderId="18" xfId="1" applyFont="1" applyBorder="1" applyAlignment="1">
      <x:alignment vertical="top" wrapText="1"/>
    </x:xf>
    <x:xf numFmtId="0" fontId="3" fillId="0" borderId="0" xfId="1" applyFont="1" applyAlignment="1">
      <x:alignment vertical="top" wrapText="1"/>
    </x:xf>
    <x:xf numFmtId="0" fontId="3" fillId="0" borderId="18" xfId="1" applyFont="1" applyBorder="1" applyAlignment="1">
      <x:alignment horizontal="left" vertical="top"/>
    </x:xf>
    <x:xf numFmtId="0" fontId="4" fillId="0" borderId="5" xfId="1" applyFont="1" applyBorder="1" applyAlignment="1">
      <x:alignment horizontal="center" vertical="top" wrapText="1"/>
    </x:xf>
    <x:xf numFmtId="0" fontId="7" fillId="0" borderId="6" xfId="1" applyFont="1" applyBorder="1" applyAlignment="1">
      <x:alignment horizontal="left" vertical="top"/>
    </x:xf>
    <x:xf numFmtId="0" fontId="3" fillId="0" borderId="23" xfId="1" applyFont="1" applyBorder="1" applyAlignment="1">
      <x:alignment horizontal="center" vertical="top" wrapText="1"/>
    </x:xf>
    <x:xf numFmtId="0" fontId="7" fillId="0" borderId="83" xfId="1" applyFont="1" applyBorder="1" applyAlignment="1">
      <x:alignment horizontal="left" vertical="top" wrapText="1"/>
    </x:xf>
    <x:xf numFmtId="0" fontId="12" fillId="0" borderId="83" xfId="1" applyFont="1" applyBorder="1" applyAlignment="1">
      <x:alignment horizontal="left" vertical="top" wrapText="1"/>
    </x:xf>
    <x:xf numFmtId="0" fontId="7" fillId="0" borderId="84" xfId="1" applyFont="1" applyBorder="1" applyAlignment="1">
      <x:alignment horizontal="left" vertical="top" wrapText="1"/>
    </x:xf>
    <x:xf numFmtId="0" fontId="3" fillId="0" borderId="51" xfId="1" applyFont="1" applyBorder="1" applyAlignment="1">
      <x:alignment horizontal="left" vertical="top" wrapText="1"/>
    </x:xf>
    <x:xf numFmtId="0" fontId="7" fillId="0" borderId="15" xfId="1" applyFont="1" applyBorder="1" applyAlignment="1">
      <x:alignment horizontal="left" vertical="top" wrapText="1"/>
    </x:xf>
    <x:xf numFmtId="0" fontId="7" fillId="0" borderId="52" xfId="1" applyFont="1" applyBorder="1" applyAlignment="1">
      <x:alignment horizontal="left" vertical="top" wrapText="1"/>
    </x:xf>
    <x:xf numFmtId="0" fontId="17" fillId="0" borderId="0" xfId="0" applyFont="1" applyAlignment="1">
      <x:alignment vertical="center" wrapText="1"/>
    </x:xf>
    <x:xf numFmtId="0" fontId="7" fillId="0" borderId="51" xfId="1" applyFont="1" applyBorder="1" applyAlignment="1">
      <x:alignment horizontal="left" vertical="top" wrapText="1"/>
    </x:xf>
    <x:xf numFmtId="0" fontId="7" fillId="0" borderId="31" xfId="1" applyFont="1" applyBorder="1" applyAlignment="1">
      <x:alignment horizontal="left" vertical="top" wrapText="1"/>
    </x:xf>
    <x:xf numFmtId="0" fontId="3" fillId="0" borderId="31" xfId="1" applyFont="1" applyBorder="1" applyAlignment="1">
      <x:alignment horizontal="left" vertical="top" wrapText="1"/>
    </x:xf>
    <x:xf numFmtId="0" fontId="17" fillId="0" borderId="15" xfId="0" applyFont="1" applyBorder="1" applyAlignment="1">
      <x:alignment vertical="center" wrapText="1"/>
    </x:xf>
    <x:xf numFmtId="0" fontId="7" fillId="0" borderId="5" xfId="1" applyFont="1" applyBorder="1" applyAlignment="1">
      <x:alignment horizontal="left" vertical="top" wrapText="1"/>
    </x:xf>
    <x:xf numFmtId="0" fontId="7" fillId="0" borderId="18" xfId="1" applyFont="1" applyBorder="1" applyAlignment="1">
      <x:alignment horizontal="left" vertical="top" wrapText="1"/>
    </x:xf>
    <x:xf numFmtId="0" fontId="7" fillId="0" borderId="6" xfId="1" applyFont="1" applyBorder="1" applyAlignment="1">
      <x:alignment horizontal="left" vertical="top" wrapText="1"/>
    </x:xf>
    <x:xf numFmtId="0" fontId="3" fillId="0" borderId="17" xfId="1" applyFont="1" applyBorder="1" applyAlignment="1">
      <x:alignment horizontal="left" vertical="top" wrapText="1"/>
    </x:xf>
    <x:xf numFmtId="0" fontId="3" fillId="0" borderId="4" xfId="1" applyFont="1" applyBorder="1" applyAlignment="1">
      <x:alignment horizontal="left" vertical="top" wrapText="1"/>
    </x:xf>
    <x:xf numFmtId="0" fontId="0" fillId="0" borderId="0" xfId="0">
      <x:alignment vertical="center"/>
      <x:extLst>
        <x:ext uri="{C7286773-470A-42A8-94C5-96B5CB345126}">
          <xfpb:xfComplement xmlns:xfpb="http://schemas.microsoft.com/office/spreadsheetml/2022/featurepropertybag" i="0"/>
        </x:ext>
      </x:extLst>
    </x:xf>
    <x:xf numFmtId="0" fontId="17" fillId="0" borderId="15" xfId="0" applyFont="1" applyBorder="1" applyAlignment="1">
      <x:alignment horizontal="left" vertical="top" wrapText="1"/>
    </x:xf>
    <x:xf numFmtId="0" fontId="17" fillId="0" borderId="37" xfId="0" applyFont="1" applyBorder="1" applyAlignment="1">
      <x:alignment vertical="top" wrapText="1"/>
    </x:xf>
    <x:xf numFmtId="0" fontId="17" fillId="0" borderId="38" xfId="0" applyFont="1" applyBorder="1" applyAlignment="1">
      <x:alignment vertical="top" wrapText="1"/>
    </x:xf>
    <x:xf numFmtId="0" fontId="17" fillId="0" borderId="12" xfId="0" applyFont="1" applyBorder="1" applyAlignment="1">
      <x:alignment vertical="top" wrapText="1"/>
    </x:xf>
    <x:xf numFmtId="0" fontId="17" fillId="0" borderId="58" xfId="0" applyFont="1" applyBorder="1" applyAlignment="1">
      <x:alignment vertical="top" wrapText="1"/>
    </x:xf>
    <x:xf numFmtId="0" fontId="17" fillId="5" borderId="11" xfId="0" applyFont="1" applyFill="1" applyBorder="1" applyAlignment="1">
      <x:alignment horizontal="left" vertical="top" wrapText="1"/>
    </x:xf>
    <x:xf numFmtId="0" fontId="17" fillId="5" borderId="58" xfId="0" applyFont="1" applyFill="1" applyBorder="1" applyAlignment="1">
      <x:alignment horizontal="left" vertical="top" wrapText="1"/>
    </x:xf>
    <x:xf numFmtId="0" fontId="17" fillId="0" borderId="11" xfId="0" applyFont="1" applyBorder="1" applyAlignment="1">
      <x:alignment horizontal="left" vertical="top" wrapText="1"/>
    </x:xf>
    <x:xf numFmtId="0" fontId="17" fillId="0" borderId="58" xfId="0" applyFont="1" applyBorder="1" applyAlignment="1">
      <x:alignment horizontal="left" vertical="top" wrapText="1"/>
    </x:xf>
    <x:xf numFmtId="0" fontId="17" fillId="5" borderId="15" xfId="0" applyFont="1" applyFill="1" applyBorder="1" applyAlignment="1">
      <x:alignment horizontal="left" vertical="top" wrapText="1"/>
    </x:xf>
    <x:xf numFmtId="0" fontId="17" fillId="5" borderId="15" xfId="0" applyFont="1" applyFill="1" applyBorder="1" applyAlignment="1">
      <x:alignment horizontal="left" vertical="center" wrapText="1"/>
    </x:xf>
    <x:xf numFmtId="0" fontId="17" fillId="0" borderId="11" xfId="0" applyFont="1" applyBorder="1" applyAlignment="1">
      <x:alignment vertical="top" wrapText="1"/>
    </x:xf>
    <x:xf numFmtId="0" fontId="17" fillId="0" borderId="79" xfId="0" applyFont="1" applyBorder="1" applyAlignment="1">
      <x:alignment horizontal="left" vertical="top" wrapText="1"/>
    </x:xf>
    <x:xf numFmtId="0" fontId="17" fillId="0" borderId="80" xfId="0" applyFont="1" applyBorder="1" applyAlignment="1">
      <x:alignment horizontal="left" vertical="top" wrapText="1"/>
    </x:xf>
    <x:xf numFmtId="0" fontId="17" fillId="0" borderId="81" xfId="0" applyFont="1" applyBorder="1" applyAlignment="1">
      <x:alignment horizontal="left" vertical="top" wrapText="1"/>
    </x:xf>
    <x:xf numFmtId="0" fontId="17" fillId="0" borderId="12" xfId="0" applyFont="1" applyBorder="1" applyAlignment="1">
      <x:alignment horizontal="left" vertical="top" wrapText="1"/>
    </x:xf>
    <x:xf numFmtId="0" fontId="28" fillId="7" borderId="25" xfId="0" applyFont="1" applyFill="1" applyBorder="1" applyAlignment="1">
      <x:alignment horizontal="left" vertical="center" wrapText="1"/>
    </x:xf>
    <x:xf numFmtId="0" fontId="28" fillId="7" borderId="26" xfId="0" applyFont="1" applyFill="1" applyBorder="1" applyAlignment="1">
      <x:alignment horizontal="left" vertical="center"/>
    </x:xf>
    <x:xf numFmtId="0" fontId="28" fillId="7" borderId="27" xfId="0" applyFont="1" applyFill="1" applyBorder="1" applyAlignment="1">
      <x:alignment horizontal="left" vertical="center"/>
    </x:xf>
    <x:xf numFmtId="0" fontId="28" fillId="13" borderId="63" xfId="0" applyFont="1" applyFill="1" applyBorder="1" applyAlignment="1">
      <x:alignment horizontal="left" vertical="center" wrapText="1"/>
    </x:xf>
    <x:xf numFmtId="0" fontId="28" fillId="13" borderId="63" xfId="0" applyFont="1" applyFill="1" applyBorder="1" applyAlignment="1">
      <x:alignment horizontal="left" vertical="center"/>
    </x:xf>
    <x:xf numFmtId="0" fontId="22" fillId="0" borderId="0" xfId="0" applyFont="1" applyAlignment="1">
      <x:alignment horizontal="center" vertical="center"/>
    </x:xf>
    <x:xf numFmtId="0" fontId="23" fillId="0" borderId="0" xfId="0" applyFont="1" applyAlignment="1">
      <x:alignment horizontal="center" vertical="center"/>
    </x:xf>
    <x:xf numFmtId="0" fontId="27" fillId="0" borderId="0" xfId="0" applyFont="1" applyAlignment="1">
      <x:alignment vertical="center" wrapText="1"/>
    </x:xf>
    <x:xf numFmtId="0" fontId="0" fillId="0" borderId="0" xfId="0" applyAlignment="1">
      <x:alignment vertical="center" wrapText="1"/>
    </x:xf>
    <x:xf numFmtId="0" fontId="28" fillId="12" borderId="59" xfId="0" applyFont="1" applyFill="1" applyBorder="1" applyAlignment="1">
      <x:alignment vertical="center"/>
    </x:xf>
    <x:xf numFmtId="0" fontId="28" fillId="12" borderId="61" xfId="0" applyFont="1" applyFill="1" applyBorder="1" applyAlignment="1">
      <x:alignment vertical="center"/>
    </x:xf>
    <x:xf numFmtId="0" fontId="28" fillId="12" borderId="71" xfId="0" applyFont="1" applyFill="1" applyBorder="1" applyAlignment="1">
      <x:alignment vertical="center"/>
    </x:xf>
    <x:xf numFmtId="0" fontId="28" fillId="8" borderId="60" xfId="0" applyFont="1" applyFill="1" applyBorder="1">
      <x:alignment vertical="center"/>
    </x:xf>
    <x:xf numFmtId="0" fontId="28" fillId="8" borderId="10" xfId="0" applyFont="1" applyFill="1" applyBorder="1">
      <x:alignment vertical="center"/>
    </x:xf>
    <x:xf numFmtId="0" fontId="28" fillId="8" borderId="14" xfId="0" applyFont="1" applyFill="1" applyBorder="1" applyAlignment="1">
      <x:alignment vertical="center" wrapText="1"/>
    </x:xf>
    <x:xf numFmtId="0" fontId="28" fillId="8" borderId="10" xfId="0" applyFont="1" applyFill="1" applyBorder="1" applyAlignment="1">
      <x:alignment vertical="center" wrapText="1"/>
    </x:xf>
    <x:xf numFmtId="0" fontId="28" fillId="8" borderId="14" xfId="0" applyFont="1" applyFill="1" applyBorder="1">
      <x:alignment vertical="center"/>
    </x:xf>
    <x:xf numFmtId="0" fontId="28" fillId="8" borderId="76" xfId="0" applyFont="1" applyFill="1" applyBorder="1">
      <x:alignment vertical="center"/>
    </x:xf>
    <x:xf numFmtId="0" fontId="20" fillId="0" borderId="1" xfId="1" applyFont="1" applyBorder="1" applyAlignment="1">
      <x:alignment horizontal="center" vertical="top" wrapText="1"/>
    </x:xf>
    <x:xf numFmtId="0" fontId="19" fillId="0" borderId="17" xfId="1" applyFont="1" applyBorder="1" applyAlignment="1">
      <x:alignment horizontal="center" vertical="top" wrapText="1"/>
    </x:xf>
    <x:xf numFmtId="0" fontId="3" fillId="0" borderId="17" xfId="1" applyFont="1" applyBorder="1" applyAlignment="1">
      <x:alignment horizontal="center" vertical="top" wrapText="1"/>
    </x:xf>
    <x:xf numFmtId="0" fontId="4" fillId="0" borderId="17" xfId="1" applyFont="1" applyBorder="1" applyAlignment="1">
      <x:alignment horizontal="center" vertical="top" wrapText="1"/>
    </x:xf>
    <x:xf numFmtId="0" fontId="3" fillId="4" borderId="2" xfId="1" applyFont="1" applyFill="1" applyBorder="1" applyAlignment="1">
      <x:alignment horizontal="center" vertical="top"/>
    </x:xf>
    <x:xf numFmtId="0" fontId="3" fillId="4" borderId="15" xfId="1" applyFont="1" applyFill="1" applyBorder="1" applyAlignment="1">
      <x:alignment horizontal="center" vertical="top"/>
    </x:xf>
    <x:xf numFmtId="0" fontId="3" fillId="0" borderId="2" xfId="1" applyFont="1" applyBorder="1" applyAlignment="1">
      <x:alignment horizontal="left" vertical="top"/>
    </x:xf>
    <x:xf numFmtId="0" fontId="3" fillId="0" borderId="15" xfId="1" applyFont="1" applyBorder="1" applyAlignment="1">
      <x:alignment horizontal="left" vertical="top"/>
    </x:xf>
    <x:xf numFmtId="0" fontId="3" fillId="0" borderId="3" xfId="1" applyFont="1" applyBorder="1" applyAlignment="1">
      <x:alignment horizontal="left" vertical="top"/>
    </x:xf>
    <x:xf numFmtId="0" fontId="3" fillId="0" borderId="15" xfId="1" applyFont="1" applyBorder="1" applyAlignment="1">
      <x:alignment vertical="top"/>
    </x:xf>
    <x:xf numFmtId="0" fontId="7" fillId="0" borderId="19" xfId="1" applyFont="1" applyBorder="1" applyAlignment="1">
      <x:alignment horizontal="left" vertical="top" wrapText="1"/>
    </x:xf>
    <x:xf numFmtId="0" fontId="7" fillId="0" borderId="20" xfId="1" applyFont="1" applyBorder="1" applyAlignment="1">
      <x:alignment horizontal="left" vertical="top" wrapText="1"/>
    </x:xf>
    <x:xf numFmtId="0" fontId="7" fillId="0" borderId="21" xfId="1" applyFont="1" applyBorder="1" applyAlignment="1">
      <x:alignment horizontal="left" vertical="top" wrapText="1"/>
    </x:xf>
    <x:xf numFmtId="0" fontId="43" fillId="0" borderId="1" xfId="1" applyFont="1" applyBorder="1" applyAlignment="1">
      <x:alignment horizontal="center" vertical="top" wrapText="1"/>
    </x:xf>
    <x:xf numFmtId="0" fontId="3" fillId="0" borderId="10" xfId="1" applyFont="1" applyBorder="1" applyAlignment="1">
      <x:alignment horizontal="center" vertical="top" wrapText="1"/>
    </x:xf>
    <x:xf numFmtId="0" fontId="3" fillId="0" borderId="4" xfId="1" applyFont="1" applyBorder="1" applyAlignment="1">
      <x:alignment horizontal="center" vertical="top" wrapText="1"/>
    </x:xf>
    <x:xf numFmtId="0" fontId="7" fillId="0" borderId="5" xfId="1" applyFont="1" applyBorder="1" applyAlignment="1">
      <x:alignment horizontal="left" vertical="top"/>
    </x:xf>
    <x:xf numFmtId="0" fontId="7" fillId="0" borderId="15" xfId="1" applyFont="1" applyBorder="1" applyAlignment="1">
      <x:alignment horizontal="left" vertical="top"/>
    </x:xf>
    <x:xf numFmtId="0" fontId="7" fillId="0" borderId="18" xfId="1" applyFont="1" applyBorder="1" applyAlignment="1">
      <x:alignment horizontal="left" vertical="top"/>
    </x:xf>
    <x:xf numFmtId="0" fontId="7" fillId="0" borderId="5" xfId="1" applyFont="1" applyBorder="1" applyAlignment="1">
      <x:alignment horizontal="left" vertical="top"/>
    </x:xf>
    <x:xf numFmtId="0" fontId="7" fillId="0" borderId="6" xfId="1" applyFont="1" applyBorder="1" applyAlignment="1">
      <x:alignment horizontal="left" vertical="top"/>
    </x:xf>
    <x:xf numFmtId="0" fontId="7" fillId="0" borderId="19" xfId="1" applyFont="1" applyBorder="1" applyAlignment="1">
      <x:alignment horizontal="left" vertical="top"/>
    </x:xf>
    <x:xf numFmtId="0" fontId="7" fillId="0" borderId="20" xfId="1" applyFont="1" applyBorder="1" applyAlignment="1">
      <x:alignment horizontal="left" vertical="top"/>
    </x:xf>
    <x:xf numFmtId="0" fontId="7" fillId="0" borderId="21" xfId="1" applyFont="1" applyBorder="1" applyAlignment="1">
      <x:alignment horizontal="left" vertical="top"/>
    </x:xf>
    <x:xf numFmtId="0" fontId="7" fillId="0" borderId="11" xfId="1" applyFont="1" applyBorder="1" applyAlignment="1">
      <x:alignment horizontal="left" vertical="top"/>
    </x:xf>
    <x:xf numFmtId="0" fontId="7" fillId="0" borderId="12" xfId="1" applyFont="1" applyBorder="1" applyAlignment="1">
      <x:alignment horizontal="left" vertical="top"/>
    </x:xf>
    <x:xf numFmtId="0" fontId="7" fillId="0" borderId="13" xfId="1" applyFont="1" applyBorder="1" applyAlignment="1">
      <x:alignment horizontal="left" vertical="top"/>
    </x:xf>
    <x:xf numFmtId="0" fontId="7" fillId="0" borderId="2" xfId="1" applyFont="1" applyBorder="1" applyAlignment="1">
      <x:alignment horizontal="left" vertical="top"/>
    </x:xf>
    <x:xf numFmtId="0" fontId="7" fillId="0" borderId="3" xfId="1" applyFont="1" applyBorder="1" applyAlignment="1">
      <x:alignment horizontal="left" vertical="top"/>
    </x:xf>
    <x:xf numFmtId="0" fontId="3" fillId="4" borderId="11" xfId="1" applyFont="1" applyFill="1" applyBorder="1" applyAlignment="1">
      <x:alignment horizontal="center" vertical="top"/>
    </x:xf>
    <x:xf numFmtId="0" fontId="3" fillId="4" borderId="12" xfId="1" applyFont="1" applyFill="1" applyBorder="1" applyAlignment="1">
      <x:alignment horizontal="center" vertical="top"/>
    </x:xf>
    <x:xf numFmtId="0" fontId="3" fillId="4" borderId="13" xfId="1" applyFont="1" applyFill="1" applyBorder="1" applyAlignment="1">
      <x:alignment horizontal="center" vertical="top"/>
    </x:xf>
    <x:xf numFmtId="0" fontId="4" fillId="0" borderId="41" xfId="1" applyFont="1" applyBorder="1" applyAlignment="1">
      <x:alignment horizontal="left" vertical="top" wrapText="1"/>
    </x:xf>
    <x:xf numFmtId="0" fontId="4" fillId="0" borderId="42" xfId="1" applyFont="1" applyBorder="1" applyAlignment="1">
      <x:alignment horizontal="left" vertical="top" wrapText="1"/>
    </x:xf>
    <x:xf numFmtId="0" fontId="4" fillId="0" borderId="0" xfId="1" applyFont="1" applyAlignment="1">
      <x:alignment horizontal="center" vertical="top" wrapText="1"/>
    </x:xf>
    <x:xf numFmtId="176" fontId="7" fillId="4" borderId="44" xfId="1" applyNumberFormat="1" applyFont="1" applyFill="1" applyBorder="1" applyAlignment="1">
      <x:alignment horizontal="center" vertical="top"/>
    </x:xf>
    <x:xf numFmtId="176" fontId="7" fillId="4" borderId="45" xfId="1" applyNumberFormat="1" applyFont="1" applyFill="1" applyBorder="1" applyAlignment="1">
      <x:alignment horizontal="center" vertical="top"/>
    </x:xf>
    <x:xf numFmtId="0" fontId="8" fillId="0" borderId="0" xfId="1" applyFont="1" applyAlignment="1">
      <x:alignment horizontal="center" vertical="top" wrapText="1"/>
    </x:xf>
    <x:xf numFmtId="0" fontId="13" fillId="0" borderId="0" xfId="1" applyFont="1" applyAlignment="1">
      <x:alignment horizontal="center" vertical="top" wrapText="1"/>
    </x:xf>
    <x:xf numFmtId="0" fontId="3" fillId="0" borderId="0" xfId="1" applyFont="1" applyAlignment="1">
      <x:alignment horizontal="right" vertical="top"/>
    </x:xf>
    <x:xf numFmtId="0" fontId="7" fillId="0" borderId="7" xfId="1" applyFont="1" applyBorder="1" applyAlignment="1">
      <x:alignment horizontal="left" vertical="top"/>
    </x:xf>
    <x:xf numFmtId="0" fontId="7" fillId="0" borderId="8" xfId="1" applyFont="1" applyBorder="1" applyAlignment="1">
      <x:alignment horizontal="left" vertical="top"/>
    </x:xf>
    <x:xf numFmtId="0" fontId="7" fillId="0" borderId="9" xfId="1" applyFont="1" applyBorder="1" applyAlignment="1">
      <x:alignment horizontal="left" vertical="top"/>
    </x:xf>
    <x:xf numFmtId="0" fontId="4" fillId="0" borderId="14" xfId="1" applyFont="1" applyBorder="1" applyAlignment="1">
      <x:alignment horizontal="center" vertical="top" wrapText="1"/>
    </x:xf>
    <x:xf numFmtId="0" fontId="4" fillId="0" borderId="16" xfId="1" applyFont="1" applyBorder="1" applyAlignment="1">
      <x:alignment horizontal="center" vertical="top" wrapText="1"/>
    </x:xf>
    <x:xf numFmtId="0" fontId="11" fillId="0" borderId="5" xfId="1" applyFont="1" applyBorder="1" applyAlignment="1">
      <x:alignment horizontal="left" vertical="top" wrapText="1"/>
    </x:xf>
    <x:xf numFmtId="0" fontId="11" fillId="0" borderId="6" xfId="1" applyFont="1" applyBorder="1" applyAlignment="1">
      <x:alignment horizontal="left" vertical="top" wrapText="1"/>
    </x:xf>
    <x:xf numFmtId="0" fontId="11" fillId="0" borderId="0" xfId="1" applyFont="1" applyAlignment="1">
      <x:alignment horizontal="left" vertical="top"/>
    </x:xf>
    <x:xf numFmtId="0" fontId="3" fillId="0" borderId="24" xfId="1" applyFont="1" applyBorder="1" applyAlignment="1">
      <x:alignment horizontal="left" vertical="top" wrapText="1"/>
    </x:xf>
    <x:xf numFmtId="0" fontId="3" fillId="0" borderId="12" xfId="1" applyFont="1" applyBorder="1" applyAlignment="1">
      <x:alignment horizontal="left" vertical="top" wrapText="1"/>
    </x:xf>
    <x:xf numFmtId="0" fontId="3" fillId="0" borderId="13" xfId="1" applyFont="1" applyBorder="1" applyAlignment="1">
      <x:alignment horizontal="left" vertical="top" wrapText="1"/>
    </x:xf>
    <x:xf numFmtId="0" fontId="3" fillId="0" borderId="7" xfId="1" applyFont="1" applyBorder="1" applyAlignment="1">
      <x:alignment horizontal="left" vertical="top" wrapText="1"/>
    </x:xf>
    <x:xf numFmtId="0" fontId="3" fillId="0" borderId="28" xfId="1" applyFont="1" applyBorder="1" applyAlignment="1">
      <x:alignment horizontal="left" vertical="top" wrapText="1"/>
    </x:xf>
    <x:xf numFmtId="0" fontId="3" fillId="4" borderId="53" xfId="1" applyFont="1" applyFill="1" applyBorder="1" applyAlignment="1">
      <x:alignment horizontal="center" vertical="top" wrapText="1"/>
    </x:xf>
    <x:xf numFmtId="0" fontId="3" fillId="4" borderId="12" xfId="1" applyFont="1" applyFill="1" applyBorder="1" applyAlignment="1">
      <x:alignment horizontal="center" vertical="top" wrapText="1"/>
    </x:xf>
    <x:xf numFmtId="0" fontId="3" fillId="4" borderId="58" xfId="1" applyFont="1" applyFill="1" applyBorder="1" applyAlignment="1">
      <x:alignment horizontal="center" vertical="top" wrapText="1"/>
    </x:xf>
    <x:xf numFmtId="0" fontId="7" fillId="4" borderId="22" xfId="1" applyFont="1" applyFill="1" applyBorder="1" applyAlignment="1">
      <x:alignment horizontal="left" vertical="center" wrapText="1"/>
    </x:xf>
    <x:xf numFmtId="0" fontId="7" fillId="4" borderId="33" xfId="1" applyFont="1" applyFill="1" applyBorder="1" applyAlignment="1">
      <x:alignment horizontal="left" vertical="center" wrapText="1"/>
    </x:xf>
    <x:xf numFmtId="0" fontId="7" fillId="4" borderId="34" xfId="1" applyFont="1" applyFill="1" applyBorder="1" applyAlignment="1">
      <x:alignment horizontal="left" vertical="center" wrapText="1"/>
    </x:xf>
    <x:xf numFmtId="0" fontId="7" fillId="4" borderId="35" xfId="1" applyFont="1" applyFill="1" applyBorder="1" applyAlignment="1">
      <x:alignment horizontal="left" vertical="center" wrapText="1"/>
    </x:xf>
    <x:xf numFmtId="0" fontId="7" fillId="4" borderId="0" xfId="1" applyFont="1" applyFill="1" applyAlignment="1">
      <x:alignment horizontal="left" vertical="center" wrapText="1"/>
    </x:xf>
    <x:xf numFmtId="0" fontId="7" fillId="4" borderId="36" xfId="1" applyFont="1" applyFill="1" applyBorder="1" applyAlignment="1">
      <x:alignment horizontal="left" vertical="center" wrapText="1"/>
    </x:xf>
    <x:xf numFmtId="0" fontId="7" fillId="4" borderId="37" xfId="1" applyFont="1" applyFill="1" applyBorder="1" applyAlignment="1">
      <x:alignment horizontal="left" vertical="center" wrapText="1"/>
    </x:xf>
    <x:xf numFmtId="0" fontId="7" fillId="4" borderId="38" xfId="1" applyFont="1" applyFill="1" applyBorder="1" applyAlignment="1">
      <x:alignment horizontal="left" vertical="center" wrapText="1"/>
    </x:xf>
    <x:xf numFmtId="0" fontId="7" fillId="4" borderId="39" xfId="1" applyFont="1" applyFill="1" applyBorder="1" applyAlignment="1">
      <x:alignment horizontal="left" vertical="center" wrapText="1"/>
    </x:xf>
    <x:xf numFmtId="0" fontId="3" fillId="0" borderId="0" xfId="1" applyFont="1" applyAlignment="1">
      <x:alignment horizontal="left" vertical="top" wrapText="1"/>
    </x:xf>
    <x:xf numFmtId="0" fontId="3" fillId="0" borderId="85" xfId="1" applyFont="1" applyBorder="1" applyAlignment="1">
      <x:alignment horizontal="left" vertical="top" wrapText="1"/>
    </x:xf>
    <x:xf numFmtId="0" fontId="7" fillId="0" borderId="20" xfId="1" applyFont="1" applyBorder="1" applyAlignment="1">
      <x:alignment horizontal="center" vertical="top" wrapText="1"/>
    </x:xf>
    <x:xf numFmtId="0" fontId="7" fillId="0" borderId="21" xfId="1" applyFont="1" applyBorder="1" applyAlignment="1">
      <x:alignment horizontal="center" vertical="top" wrapText="1"/>
    </x:xf>
    <x:xf numFmtId="0" fontId="3" fillId="4" borderId="29" xfId="1" applyFont="1" applyFill="1" applyBorder="1" applyAlignment="1">
      <x:alignment horizontal="center" vertical="top" wrapText="1"/>
    </x:xf>
    <x:xf numFmtId="0" fontId="3" fillId="4" borderId="30" xfId="1" applyFont="1" applyFill="1" applyBorder="1" applyAlignment="1">
      <x:alignment horizontal="center" vertical="top" wrapText="1"/>
    </x:xf>
    <x:xf numFmtId="0" fontId="3" fillId="4" borderId="32" xfId="1" applyFont="1" applyFill="1" applyBorder="1" applyAlignment="1">
      <x:alignment horizontal="center" vertical="top" wrapText="1"/>
    </x:xf>
    <x:xf numFmtId="0" fontId="3" fillId="0" borderId="47" xfId="1" applyFont="1" applyBorder="1" applyAlignment="1">
      <x:alignment horizontal="left" vertical="top" wrapText="1"/>
    </x:xf>
    <x:xf numFmtId="0" fontId="3" fillId="0" borderId="48" xfId="1" applyFont="1" applyBorder="1" applyAlignment="1">
      <x:alignment horizontal="left" vertical="top" wrapText="1"/>
    </x:xf>
    <x:xf numFmtId="0" fontId="3" fillId="0" borderId="49" xfId="1" applyFont="1" applyBorder="1" applyAlignment="1">
      <x:alignment horizontal="left" vertical="top" wrapText="1"/>
    </x:xf>
    <x:xf numFmtId="0" fontId="3" fillId="0" borderId="46" xfId="1" applyFont="1" applyBorder="1" applyAlignment="1">
      <x:alignment horizontal="left" vertical="top" wrapText="1"/>
    </x:xf>
    <x:xf numFmtId="0" fontId="3" fillId="0" borderId="50" xfId="1" applyFont="1" applyBorder="1" applyAlignment="1">
      <x:alignment horizontal="left" vertical="top" wrapText="1"/>
    </x:xf>
    <x:xf numFmtId="0" fontId="7" fillId="0" borderId="55" xfId="1" applyFont="1" applyBorder="1" applyAlignment="1">
      <x:alignment horizontal="center" vertical="top" wrapText="1"/>
    </x:xf>
    <x:xf numFmtId="0" fontId="7" fillId="0" borderId="56" xfId="1" applyFont="1" applyBorder="1" applyAlignment="1">
      <x:alignment horizontal="center" vertical="top" wrapText="1"/>
    </x:xf>
    <x:xf numFmtId="0" fontId="7" fillId="0" borderId="57" xfId="1" applyFont="1" applyBorder="1" applyAlignment="1">
      <x:alignment horizontal="center" vertical="top" wrapText="1"/>
    </x:xf>
    <x:xf numFmtId="0" fontId="3" fillId="0" borderId="53" xfId="1" applyFont="1" applyBorder="1" applyAlignment="1">
      <x:alignment horizontal="left" vertical="top" wrapText="1"/>
    </x:xf>
    <x:xf numFmtId="0" fontId="3" fillId="0" borderId="54" xfId="1" applyFont="1" applyBorder="1" applyAlignment="1">
      <x:alignment horizontal="left" vertical="top" wrapText="1"/>
    </x:xf>
    <x:xf numFmtId="0" fontId="46" fillId="0" borderId="0" xfId="0" applyFont="1" applyAlignment="1">
      <x:alignment horizontal="left" vertical="center"/>
    </x:xf>
    <x:xf numFmtId="0" fontId="3" fillId="0" borderId="1" xfId="1" applyFont="1" applyBorder="1" applyAlignment="1">
      <x:alignment horizontal="left" vertical="top" wrapText="1"/>
    </x:xf>
    <x:xf numFmtId="0" fontId="3" fillId="0" borderId="2" xfId="1" applyFont="1" applyBorder="1" applyAlignment="1">
      <x:alignment horizontal="left" vertical="top" wrapText="1"/>
    </x:xf>
    <x:xf numFmtId="0" fontId="3" fillId="0" borderId="3" xfId="1" applyFont="1" applyBorder="1" applyAlignment="1">
      <x:alignment horizontal="left" vertical="top" wrapText="1"/>
    </x:xf>
    <x:xf numFmtId="0" fontId="3" fillId="0" borderId="11" xfId="1" applyFont="1" applyBorder="1" applyAlignment="1">
      <x:alignment horizontal="left" vertical="top" wrapText="1"/>
    </x:xf>
    <x:xf numFmtId="0" fontId="7" fillId="0" borderId="11" xfId="1" applyFont="1" applyBorder="1" applyAlignment="1">
      <x:alignment horizontal="left" vertical="top" wrapText="1"/>
    </x:xf>
    <x:xf numFmtId="0" fontId="7" fillId="0" borderId="13" xfId="1" applyFont="1" applyBorder="1" applyAlignment="1">
      <x:alignment horizontal="left" vertical="top" wrapText="1"/>
    </x:xf>
    <x:xf numFmtId="0" fontId="7" fillId="0" borderId="11" xfId="1" applyFont="1" applyBorder="1" applyAlignment="1">
      <x:alignment horizontal="center" vertical="top" wrapText="1"/>
    </x:xf>
    <x:xf numFmtId="0" fontId="7" fillId="0" borderId="13" xfId="1" applyFont="1" applyBorder="1" applyAlignment="1">
      <x:alignment horizontal="center" vertical="top" wrapText="1"/>
    </x:xf>
    <x:xf numFmtId="0" fontId="17" fillId="0" borderId="0" xfId="0" applyFont="1" applyAlignment="1">
      <x:alignment horizontal="left" vertical="center" wrapText="1"/>
    </x:xf>
    <x:xf numFmtId="0" fontId="17" fillId="0" borderId="64" xfId="0" applyFont="1" applyBorder="1" applyAlignment="1">
      <x:alignment horizontal="center" vertical="center"/>
    </x:xf>
    <x:xf numFmtId="0" fontId="17" fillId="0" borderId="33" xfId="0" applyFont="1" applyBorder="1" applyAlignment="1">
      <x:alignment horizontal="center" vertical="center"/>
    </x:xf>
    <x:xf numFmtId="0" fontId="17" fillId="0" borderId="34" xfId="0" applyFont="1" applyBorder="1" applyAlignment="1">
      <x:alignment horizontal="center" vertical="center"/>
    </x:xf>
    <x:xf numFmtId="0" fontId="17" fillId="0" borderId="65" xfId="0" applyFont="1" applyBorder="1" applyAlignment="1">
      <x:alignment horizontal="center" vertical="center"/>
    </x:xf>
    <x:xf numFmtId="0" fontId="17" fillId="0" borderId="0" xfId="0" applyFont="1" applyAlignment="1">
      <x:alignment horizontal="center" vertical="center"/>
    </x:xf>
    <x:xf numFmtId="0" fontId="17" fillId="0" borderId="36" xfId="0" applyFont="1" applyBorder="1" applyAlignment="1">
      <x:alignment horizontal="center" vertical="center"/>
    </x:xf>
    <x:xf numFmtId="0" fontId="17" fillId="0" borderId="66" xfId="0" applyFont="1" applyBorder="1" applyAlignment="1">
      <x:alignment horizontal="center" vertical="center"/>
    </x:xf>
    <x:xf numFmtId="0" fontId="17" fillId="0" borderId="67" xfId="0" applyFont="1" applyBorder="1" applyAlignment="1">
      <x:alignment horizontal="center" vertical="center"/>
    </x:xf>
    <x:xf numFmtId="0" fontId="17" fillId="0" borderId="68" xfId="0" applyFont="1" applyBorder="1" applyAlignment="1">
      <x:alignment horizontal="center" vertical="center"/>
    </x:xf>
  </x:cellXfs>
  <x:cellStyles count="2">
    <x:cellStyle name="標準" xfId="0"/>
    <x:cellStyle name="標準 2" xfId="1"/>
  </x:cellStyles>
  <x:dxfs count="34">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ill>
        <x:patternFill>
          <x:bgColor theme="5" tint="0.79998"/>
        </x:patternFill>
      </x:fill>
    </x:dxf>
    <x:dxf>
      <x:fill>
        <x:patternFill>
          <x:bgColor theme="5" tint="0.7999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be053642644447" /><Relationship Type="http://schemas.openxmlformats.org/officeDocument/2006/relationships/theme" Target="/xl/theme/theme1.xml" Id="Re297983888c548e6" /><Relationship Type="http://schemas.microsoft.com/office/2022/11/relationships/FeaturePropertyBag" Target="/xl/featurePropertyBag/featurePropertyBag.xml" Id="R77bdfed21f2b45a0" /><Relationship Type="http://schemas.openxmlformats.org/officeDocument/2006/relationships/sharedStrings" Target="/xl/sharedStrings.xml" Id="R0e6a32d6d09442be" /><Relationship Type="http://schemas.openxmlformats.org/officeDocument/2006/relationships/worksheet" Target="/xl/worksheets/sheet1.xml" Id="Re21e355b6c144d5d" /><Relationship Type="http://schemas.openxmlformats.org/officeDocument/2006/relationships/worksheet" Target="/xl/worksheets/sheet2.xml" Id="R48ea82759a8d4fb7" /><Relationship Type="http://schemas.openxmlformats.org/officeDocument/2006/relationships/worksheet" Target="/xl/worksheets/sheet3.xml" Id="R819c48217da24d41" /><Relationship Type="http://schemas.openxmlformats.org/officeDocument/2006/relationships/worksheet" Target="/xl/worksheets/sheet4.xml" Id="R2015cadaca0140bd" /><Relationship Type="http://schemas.openxmlformats.org/officeDocument/2006/relationships/worksheet" Target="/xl/worksheets/sheet5.xml" Id="R5312ac2389e244b0" /><Relationship Type="http://schemas.openxmlformats.org/officeDocument/2006/relationships/worksheet" Target="/xl/worksheets/sheet6.xml" Id="Rbe6252c61dbe48b3" /><Relationship Type="http://schemas.openxmlformats.org/officeDocument/2006/relationships/worksheet" Target="/xl/worksheets/sheet7.xml" Id="R0d7d0293b4354105" /><Relationship Type="http://schemas.openxmlformats.org/officeDocument/2006/relationships/worksheet" Target="/xl/worksheets/sheet8.xml" Id="Re5fa80e8f7ad4b7b" /></Relationships>
</file>

<file path=xl/drawings/_rels/drawing1.xml.rels>&#65279;<?xml version="1.0" encoding="utf-8"?><Relationships xmlns="http://schemas.openxmlformats.org/package/2006/relationships"><Relationship Type="http://schemas.openxmlformats.org/officeDocument/2006/relationships/image" Target="/xl/media/image.png" Id="Re0d6ce25535f46b1" /></Relationships>
</file>

<file path=xl/drawings/_rels/drawing2.xml.rels>&#65279;<?xml version="1.0" encoding="utf-8"?><Relationships xmlns="http://schemas.openxmlformats.org/package/2006/relationships"><Relationship Type="http://schemas.openxmlformats.org/officeDocument/2006/relationships/image" Target="/xl/media/image2.png" Id="Rf9b218beb2e24275" /><Relationship Type="http://schemas.openxmlformats.org/officeDocument/2006/relationships/image" Target="/xl/media/image3.png" Id="Rfb190d36d3014b15" /></Relationships>
</file>

<file path=xl/drawings/drawing1.xml><?xml version="1.0" encoding="utf-8"?>
<xdr:wsDr xmlns:xdr="http://schemas.openxmlformats.org/drawingml/2006/spreadsheetDrawing">
  <xdr:oneCellAnchor>
    <xdr:from>
      <xdr:col>0</xdr:col>
      <xdr:colOff>133350</xdr:colOff>
      <xdr:row>12</xdr:row>
      <xdr:rowOff>95250</xdr:rowOff>
    </xdr:from>
    <xdr:ext cx="7286625" cy="2209800"/>
    <xdr:pic>
      <xdr:nvPicPr>
        <xdr:cNvPr id="1" name="84329259-02af-4e3f-ab2b-a0bf43148e6f"/>
        <xdr:cNvPicPr>
          <a:picLocks xmlns:a="http://schemas.openxmlformats.org/drawingml/2006/main" noChangeAspect="1"/>
        </xdr:cNvPicPr>
      </xdr:nvPicPr>
      <xdr:blipFill>
        <a:blip xmlns:r="http://schemas.openxmlformats.org/officeDocument/2006/relationships" xmlns:a="http://schemas.openxmlformats.org/drawingml/2006/main" r:embed="Re0d6ce25535f46b1"/>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twoCellAnchor editAs="oneCell">
    <xdr:from>
      <xdr:col>0</xdr:col>
      <xdr:colOff>628650</xdr:colOff>
      <xdr:row>26</xdr:row>
      <xdr:rowOff>66675</xdr:rowOff>
    </xdr:from>
    <xdr:to>
      <xdr:col>2</xdr:col>
      <xdr:colOff>47625</xdr:colOff>
      <xdr:row>26</xdr:row>
      <xdr:rowOff>209550</xdr:rowOff>
    </xdr:to>
    <xdr:sp>
      <xdr:nvSpPr>
        <xdr:cNvPr id="1" name="正方形/長方形 2"/>
        <xdr:cNvSpPr>
          <a:spLocks xmlns:a="http://schemas.openxmlformats.org/drawingml/2006/main" noGrp="1"/>
        </xdr:cNvSpPr>
      </xdr:nvSpPr>
      <xdr:spPr>
        <a:xfrm xmlns:a="http://schemas.openxmlformats.org/drawingml/2006/main">
          <a:off x="628650" y="5343525"/>
          <a:ext cx="942975" cy="142875"/>
        </a:xfrm>
        <a:prstGeom xmlns:a="http://schemas.openxmlformats.org/drawingml/2006/main" prst="rect">
          <a:avLst/>
        </a:prstGeom>
        <a:noFill xmlns:a="http://schemas.openxmlformats.org/drawingml/2006/main"/>
        <a:ln xmlns:a="http://schemas.openxmlformats.org/drawingml/2006/main">
          <a:solidFill>
            <a:srgbClr val="FF0000"/>
          </a:solidFill>
        </a:ln>
      </xdr:spPr>
      <xdr:style>
        <a:lnRef xmlns:a="http://schemas.openxmlformats.org/drawingml/2006/main" idx="2">
          <a:schemeClr val="accent2"/>
        </a:lnRef>
        <a:fillRef xmlns:a="http://schemas.openxmlformats.org/drawingml/2006/main" idx="1">
          <a:schemeClr val="lt1"/>
        </a:fillRef>
        <a:effectRef xmlns:a="http://schemas.openxmlformats.org/drawingml/2006/main" idx="0">
          <a:schemeClr val="accent2"/>
        </a:effectRef>
        <a:fontRef xmlns:a="http://schemas.openxmlformats.org/drawingml/2006/main" idx="minor">
          <a:schemeClr val="dk1"/>
        </a:fontRef>
      </xdr:style>
      <xdr:txBody>
        <a:bodyPr xmlns:a="http://schemas.openxmlformats.org/drawingml/2006/main" anchor="t"/>
        <a:lstStyle xmlns:a="http://schemas.openxmlformats.org/drawingml/2006/main"/>
        <a:p xmlns:a="http://schemas.openxmlformats.org/drawingml/2006/main">
          <a:pPr algn="l">
            <a:buNone/>
          </a:pPr>
          <a:endParaRPr/>
        </a:p>
      </xdr:txBody>
    </xdr:sp>
    <xdr:clientData/>
  </xdr:twoCellAnchor>
  <xdr:twoCellAnchor editAs="oneCell">
    <xdr:from>
      <xdr:col>2</xdr:col>
      <xdr:colOff>78193</xdr:colOff>
      <xdr:row>25</xdr:row>
      <xdr:rowOff>170268</xdr:rowOff>
    </xdr:from>
    <xdr:to>
      <xdr:col>8</xdr:col>
      <xdr:colOff>729438</xdr:colOff>
      <xdr:row>27</xdr:row>
      <xdr:rowOff>83141</xdr:rowOff>
    </xdr:to>
    <xdr:sp>
      <xdr:nvSpPr>
        <xdr:cNvPr id="2" name="テキスト ボックス 3"/>
        <xdr:cNvSpPr>
          <a:spLocks xmlns:a="http://schemas.openxmlformats.org/drawingml/2006/main" noGrp="1"/>
        </xdr:cNvSpPr>
      </xdr:nvSpPr>
      <xdr:spPr>
        <a:xfrm xmlns:a="http://schemas.openxmlformats.org/drawingml/2006/main">
          <a:off x="1602193" y="5256618"/>
          <a:ext cx="5223245" cy="331973"/>
        </a:xfrm>
        <a:prstGeom xmlns:a="http://schemas.openxmlformats.org/drawingml/2006/main" prst="rect">
          <a:avLst/>
        </a:prstGeom>
        <a:noFill xmlns:a="http://schemas.openxmlformats.org/drawingml/2006/main"/>
        <a:ln xmlns:a="http://schemas.openxmlformats.org/drawingml/2006/main" w="9525">
          <a:no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1100" b="1">
              <a:solidFill>
                <a:srgbClr val="FF0000"/>
              </a:solidFill>
              <a:latin typeface="ＭＳ Ｐゴシック"/>
              <a:ea typeface="ＭＳ Ｐゴシック"/>
              <a:cs typeface="ＭＳ Ｐゴシック"/>
            </a:rPr>
            <a:t>ここのメールアドレスが表示された状態でスクリーンショットください</a:t>
          </a:r>
          <a:endParaRPr/>
        </a:p>
      </xdr:txBody>
    </xdr:sp>
    <xdr:clientData/>
  </xdr:twoCellAnchor>
  <xdr:twoCellAnchor editAs="oneCell">
    <xdr:from>
      <xdr:col>10</xdr:col>
      <xdr:colOff>9525</xdr:colOff>
      <xdr:row>30</xdr:row>
      <xdr:rowOff>133350</xdr:rowOff>
    </xdr:from>
    <xdr:to>
      <xdr:col>10</xdr:col>
      <xdr:colOff>723900</xdr:colOff>
      <xdr:row>31</xdr:row>
      <xdr:rowOff>85725</xdr:rowOff>
    </xdr:to>
    <xdr:sp>
      <xdr:nvSpPr>
        <xdr:cNvPr id="3" name="四角形 6"/>
        <xdr:cNvSpPr>
          <a:spLocks xmlns:a="http://schemas.openxmlformats.org/drawingml/2006/main" noGrp="1"/>
        </xdr:cNvSpPr>
      </xdr:nvSpPr>
      <xdr:spPr>
        <a:xfrm xmlns:a="http://schemas.openxmlformats.org/drawingml/2006/main">
          <a:off x="7629525" y="6210300"/>
          <a:ext cx="714375" cy="142875"/>
        </a:xfrm>
        <a:prstGeom xmlns:a="http://schemas.openxmlformats.org/drawingml/2006/main" prst="rect">
          <a:avLst/>
        </a:prstGeom>
        <a:noFill xmlns:a="http://schemas.openxmlformats.org/drawingml/2006/main"/>
        <a:ln xmlns:a="http://schemas.openxmlformats.org/drawingml/2006/main">
          <a:solidFill>
            <a:srgbClr val="FF0000"/>
          </a:solidFill>
        </a:ln>
      </xdr:spPr>
      <xdr:style>
        <a:lnRef xmlns:a="http://schemas.openxmlformats.org/drawingml/2006/main" idx="2">
          <a:schemeClr val="accent2"/>
        </a:lnRef>
        <a:fillRef xmlns:a="http://schemas.openxmlformats.org/drawingml/2006/main" idx="1">
          <a:schemeClr val="lt1"/>
        </a:fillRef>
        <a:effectRef xmlns:a="http://schemas.openxmlformats.org/drawingml/2006/main" idx="0">
          <a:schemeClr val="accent2"/>
        </a:effectRef>
        <a:fontRef xmlns:a="http://schemas.openxmlformats.org/drawingml/2006/main" idx="minor">
          <a:schemeClr val="dk1"/>
        </a:fontRef>
      </xdr:style>
      <xdr:txBody>
        <a:bodyPr xmlns:a="http://schemas.openxmlformats.org/drawingml/2006/main" anchor="t"/>
        <a:lstStyle xmlns:a="http://schemas.openxmlformats.org/drawingml/2006/main">
          <a:lvl1pPr marL="0" indent="0">
            <a:defRPr sz="1100">
              <a:solidFill>
                <a:schemeClr val="dk1"/>
              </a:solidFill>
              <a:latin typeface="+mn-lt"/>
              <a:ea typeface="+mn-lt"/>
              <a:cs typeface="+mn-lt"/>
            </a:defRPr>
          </a:lvl1pPr>
          <a:lvl2pPr marL="457200" indent="0">
            <a:defRPr sz="1100">
              <a:solidFill>
                <a:schemeClr val="dk1"/>
              </a:solidFill>
              <a:latin typeface="+mn-lt"/>
              <a:ea typeface="+mn-lt"/>
              <a:cs typeface="+mn-lt"/>
            </a:defRPr>
          </a:lvl2pPr>
          <a:lvl3pPr marL="914400" indent="0">
            <a:defRPr sz="1100">
              <a:solidFill>
                <a:schemeClr val="dk1"/>
              </a:solidFill>
              <a:latin typeface="+mn-lt"/>
              <a:ea typeface="+mn-lt"/>
              <a:cs typeface="+mn-lt"/>
            </a:defRPr>
          </a:lvl3pPr>
          <a:lvl4pPr marL="1371600" indent="0">
            <a:defRPr sz="1100">
              <a:solidFill>
                <a:schemeClr val="dk1"/>
              </a:solidFill>
              <a:latin typeface="+mn-lt"/>
              <a:ea typeface="+mn-lt"/>
              <a:cs typeface="+mn-lt"/>
            </a:defRPr>
          </a:lvl4pPr>
          <a:lvl5pPr marL="1828800" indent="0">
            <a:defRPr sz="1100">
              <a:solidFill>
                <a:schemeClr val="dk1"/>
              </a:solidFill>
              <a:latin typeface="+mn-lt"/>
              <a:ea typeface="+mn-lt"/>
              <a:cs typeface="+mn-lt"/>
            </a:defRPr>
          </a:lvl5pPr>
          <a:lvl6pPr marL="2286000" indent="0">
            <a:defRPr sz="1100">
              <a:solidFill>
                <a:schemeClr val="dk1"/>
              </a:solidFill>
              <a:latin typeface="+mn-lt"/>
              <a:ea typeface="+mn-lt"/>
              <a:cs typeface="+mn-lt"/>
            </a:defRPr>
          </a:lvl6pPr>
          <a:lvl7pPr marL="2743200" indent="0">
            <a:defRPr sz="1100">
              <a:solidFill>
                <a:schemeClr val="dk1"/>
              </a:solidFill>
              <a:latin typeface="+mn-lt"/>
              <a:ea typeface="+mn-lt"/>
              <a:cs typeface="+mn-lt"/>
            </a:defRPr>
          </a:lvl7pPr>
          <a:lvl8pPr marL="3200400" indent="0">
            <a:defRPr sz="1100">
              <a:solidFill>
                <a:schemeClr val="dk1"/>
              </a:solidFill>
              <a:latin typeface="+mn-lt"/>
              <a:ea typeface="+mn-lt"/>
              <a:cs typeface="+mn-lt"/>
            </a:defRPr>
          </a:lvl8pPr>
          <a:lvl9pPr marL="3657600" indent="0">
            <a:defRPr sz="1100">
              <a:solidFill>
                <a:schemeClr val="dk1"/>
              </a:solidFill>
              <a:latin typeface="+mn-lt"/>
              <a:ea typeface="+mn-lt"/>
              <a:cs typeface="+mn-lt"/>
            </a:defRPr>
          </a:lvl9pPr>
        </a:lstStyle>
        <a:p xmlns:a="http://schemas.openxmlformats.org/drawingml/2006/main">
          <a:pPr algn="l">
            <a:buNone/>
          </a:pPr>
          <a:endParaRPr/>
        </a:p>
      </xdr:txBody>
    </xdr:sp>
    <xdr:clientData/>
  </xdr:twoCellAnchor>
  <xdr:twoCellAnchor editAs="oneCell">
    <xdr:from>
      <xdr:col>9</xdr:col>
      <xdr:colOff>292100</xdr:colOff>
      <xdr:row>31</xdr:row>
      <xdr:rowOff>95250</xdr:rowOff>
    </xdr:from>
    <xdr:to>
      <xdr:col>16</xdr:col>
      <xdr:colOff>181345</xdr:colOff>
      <xdr:row>33</xdr:row>
      <xdr:rowOff>49398</xdr:rowOff>
    </xdr:to>
    <xdr:sp>
      <xdr:nvSpPr>
        <xdr:cNvPr id="4" name="テキスト ボックス 7"/>
        <xdr:cNvSpPr>
          <a:spLocks xmlns:a="http://schemas.openxmlformats.org/drawingml/2006/main" noGrp="1"/>
        </xdr:cNvSpPr>
      </xdr:nvSpPr>
      <xdr:spPr>
        <a:xfrm xmlns:a="http://schemas.openxmlformats.org/drawingml/2006/main">
          <a:off x="7568757" y="6308651"/>
          <a:ext cx="5548867" cy="330718"/>
        </a:xfrm>
        <a:prstGeom xmlns:a="http://schemas.openxmlformats.org/drawingml/2006/main" prst="rect">
          <a:avLst/>
        </a:prstGeom>
        <a:noFill xmlns:a="http://schemas.openxmlformats.org/drawingml/2006/main"/>
        <a:ln xmlns:a="http://schemas.openxmlformats.org/drawingml/2006/main" w="9525">
          <a:no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lvl1pPr marL="0" indent="0">
            <a:defRPr sz="1100">
              <a:solidFill>
                <a:schemeClr val="dk1"/>
              </a:solidFill>
              <a:latin typeface="+mn-lt"/>
              <a:ea typeface="+mn-lt"/>
              <a:cs typeface="+mn-lt"/>
            </a:defRPr>
          </a:lvl1pPr>
          <a:lvl2pPr marL="457200" indent="0">
            <a:defRPr sz="1100">
              <a:solidFill>
                <a:schemeClr val="dk1"/>
              </a:solidFill>
              <a:latin typeface="+mn-lt"/>
              <a:ea typeface="+mn-lt"/>
              <a:cs typeface="+mn-lt"/>
            </a:defRPr>
          </a:lvl2pPr>
          <a:lvl3pPr marL="914400" indent="0">
            <a:defRPr sz="1100">
              <a:solidFill>
                <a:schemeClr val="dk1"/>
              </a:solidFill>
              <a:latin typeface="+mn-lt"/>
              <a:ea typeface="+mn-lt"/>
              <a:cs typeface="+mn-lt"/>
            </a:defRPr>
          </a:lvl3pPr>
          <a:lvl4pPr marL="1371600" indent="0">
            <a:defRPr sz="1100">
              <a:solidFill>
                <a:schemeClr val="dk1"/>
              </a:solidFill>
              <a:latin typeface="+mn-lt"/>
              <a:ea typeface="+mn-lt"/>
              <a:cs typeface="+mn-lt"/>
            </a:defRPr>
          </a:lvl4pPr>
          <a:lvl5pPr marL="1828800" indent="0">
            <a:defRPr sz="1100">
              <a:solidFill>
                <a:schemeClr val="dk1"/>
              </a:solidFill>
              <a:latin typeface="+mn-lt"/>
              <a:ea typeface="+mn-lt"/>
              <a:cs typeface="+mn-lt"/>
            </a:defRPr>
          </a:lvl5pPr>
          <a:lvl6pPr marL="2286000" indent="0">
            <a:defRPr sz="1100">
              <a:solidFill>
                <a:schemeClr val="dk1"/>
              </a:solidFill>
              <a:latin typeface="+mn-lt"/>
              <a:ea typeface="+mn-lt"/>
              <a:cs typeface="+mn-lt"/>
            </a:defRPr>
          </a:lvl6pPr>
          <a:lvl7pPr marL="2743200" indent="0">
            <a:defRPr sz="1100">
              <a:solidFill>
                <a:schemeClr val="dk1"/>
              </a:solidFill>
              <a:latin typeface="+mn-lt"/>
              <a:ea typeface="+mn-lt"/>
              <a:cs typeface="+mn-lt"/>
            </a:defRPr>
          </a:lvl7pPr>
          <a:lvl8pPr marL="3200400" indent="0">
            <a:defRPr sz="1100">
              <a:solidFill>
                <a:schemeClr val="dk1"/>
              </a:solidFill>
              <a:latin typeface="+mn-lt"/>
              <a:ea typeface="+mn-lt"/>
              <a:cs typeface="+mn-lt"/>
            </a:defRPr>
          </a:lvl8pPr>
          <a:lvl9pPr marL="3657600" indent="0">
            <a:defRPr sz="1100">
              <a:solidFill>
                <a:schemeClr val="dk1"/>
              </a:solidFill>
              <a:latin typeface="+mn-lt"/>
              <a:ea typeface="+mn-lt"/>
              <a:cs typeface="+mn-lt"/>
            </a:defRPr>
          </a:lvl9pPr>
        </a:lstStyle>
        <a:p xmlns:a="http://schemas.openxmlformats.org/drawingml/2006/main">
          <a:r>
            <a:rPr sz="1100" b="1">
              <a:solidFill>
                <a:srgbClr val="FF0000"/>
              </a:solidFill>
              <a:latin typeface="ＭＳ Ｐゴシック"/>
              <a:ea typeface="ＭＳ Ｐゴシック"/>
              <a:cs typeface="ＭＳ Ｐゴシック"/>
            </a:rPr>
            <a:t>ここのメールアドレスが表示された状態でスクリーンショットください</a:t>
          </a:r>
          <a:endParaRPr/>
        </a:p>
      </xdr:txBody>
    </xdr:sp>
    <xdr:clientData/>
  </xdr:twoCellAnchor>
  <xdr:twoCellAnchor editAs="oneCell">
    <xdr:from>
      <xdr:col>0</xdr:col>
      <xdr:colOff>238125</xdr:colOff>
      <xdr:row>24</xdr:row>
      <xdr:rowOff>104775</xdr:rowOff>
    </xdr:from>
    <xdr:to>
      <xdr:col>8</xdr:col>
      <xdr:colOff>323850</xdr:colOff>
      <xdr:row>40</xdr:row>
      <xdr:rowOff>76200</xdr:rowOff>
    </xdr:to>
    <xdr:pic>
      <xdr:nvPicPr>
        <xdr:cNvPr id="5" name="/xl/media/image.png"/>
        <xdr:cNvPicPr>
          <a:picLocks xmlns:a="http://schemas.openxmlformats.org/drawingml/2006/main" noChangeAspect="1"/>
        </xdr:cNvPicPr>
      </xdr:nvPicPr>
      <xdr:blipFill>
        <a:blip xmlns:r="http://schemas.openxmlformats.org/officeDocument/2006/relationships" xmlns:a="http://schemas.openxmlformats.org/drawingml/2006/main" r:embed="Rf9b218beb2e24275"/>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428625</xdr:colOff>
      <xdr:row>24</xdr:row>
      <xdr:rowOff>114300</xdr:rowOff>
    </xdr:from>
    <xdr:to>
      <xdr:col>14</xdr:col>
      <xdr:colOff>654050</xdr:colOff>
      <xdr:row>40</xdr:row>
      <xdr:rowOff>76200</xdr:rowOff>
    </xdr:to>
    <xdr:pic>
      <xdr:nvPicPr>
        <xdr:cNvPr id="6" name="/xl/media/image2.png"/>
        <xdr:cNvPicPr>
          <a:picLocks xmlns:a="http://schemas.openxmlformats.org/drawingml/2006/main" noChangeAspect="1"/>
        </xdr:cNvPicPr>
      </xdr:nvPicPr>
      <xdr:blipFill>
        <a:blip xmlns:r="http://schemas.openxmlformats.org/officeDocument/2006/relationships" xmlns:a="http://schemas.openxmlformats.org/drawingml/2006/main" r:embed="Rfb190d36d3014b15"/>
        <a:stretch xmlns:a="http://schemas.openxmlformats.org/drawingml/2006/main">
          <a:fillRect/>
        </a:stretch>
      </xdr:blipFill>
      <xdr:spPr>
        <a:prstGeom xmlns:a="http://schemas.openxmlformats.org/drawingml/2006/main" prst="rect"/>
      </xdr:spPr>
    </xdr:pic>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2f478a0c698c41ff" /></Relationships>
</file>

<file path=xl/worksheets/_rels/sheet7.xml.rels>&#65279;<?xml version="1.0" encoding="utf-8"?><Relationships xmlns="http://schemas.openxmlformats.org/package/2006/relationships"><Relationship Type="http://schemas.openxmlformats.org/officeDocument/2006/relationships/drawing" Target="/xl/drawings/drawing2.xml" Id="Ra2d335e834c34a3b" /></Relationships>
</file>

<file path=xl/worksheets/sheet1.xml><?xml version="1.0" encoding="utf-8"?>
<x:worksheet xmlns:x="http://schemas.openxmlformats.org/spreadsheetml/2006/main">
  <x:sheetViews>
    <x:sheetView showGridLines="0" workbookViewId="0"/>
  </x:sheetViews>
  <x:sheetFormatPr defaultRowHeight="15"/>
  <x:cols>
    <x:col min="1" max="1" width="10.640625" style="19" customWidth="1"/>
    <x:col min="2" max="2" width="22.140625" style="19" customWidth="1"/>
    <x:col min="3" max="3" width="71.140625" style="19" customWidth="1"/>
    <x:col min="4" max="4" width="14.140625" style="19" customWidth="1"/>
    <x:col min="5" max="5" width="58.140625" style="79" customWidth="1"/>
  </x:cols>
  <x:sheetData>
    <x:row r="1" ht="16">
      <x:c r="A1" s="76" t="s">
        <x:v>0</x:v>
      </x:c>
      <x:c r="B1" s="20" t="s">
        <x:v>1</x:v>
      </x:c>
      <x:c r="C1" s="77" t="s">
        <x:v>2</x:v>
      </x:c>
      <x:c r="D1" s="78"/>
    </x:row>
    <x:row r="2" s="15" customFormat="1" ht="54" customHeight="1">
      <x:c r="A2" s="80">
        <x:v>1</x:v>
      </x:c>
      <x:c r="B2" s="99" t="s">
        <x:v>3</x:v>
      </x:c>
      <x:c r="C2" s="17" t="s">
        <x:v>4</x:v>
      </x:c>
      <x:c r="D2" s="19"/>
      <x:c r="E2" s="81"/>
    </x:row>
    <x:row r="3" s="15" customFormat="1" ht="83.25" customHeight="1">
      <x:c r="A3" s="80">
        <x:v>2</x:v>
      </x:c>
      <x:c r="B3" s="99" t="s">
        <x:v>5</x:v>
      </x:c>
      <x:c r="C3" s="17" t="s">
        <x:v>6</x:v>
      </x:c>
      <x:c r="D3" s="19"/>
      <x:c r="E3" s="81"/>
    </x:row>
    <x:row r="4" s="15" customFormat="1" ht="136" customHeight="1">
      <x:c r="A4" s="80">
        <x:v>3</x:v>
      </x:c>
      <x:c r="B4" s="99" t="s">
        <x:v>7</x:v>
      </x:c>
      <x:c r="C4" s="17" t="s">
        <x:v>8</x:v>
      </x:c>
      <x:c r="D4" s="19"/>
      <x:c r="E4" s="81"/>
    </x:row>
    <x:row r="5" ht="33.650001525878906" customHeight="1">
      <x:c r="A5" s="80">
        <x:v>4</x:v>
      </x:c>
      <x:c r="B5" s="99" t="s">
        <x:v>9</x:v>
      </x:c>
      <x:c r="C5" s="17" t="s">
        <x:v>10</x:v>
      </x:c>
    </x:row>
    <x:row r="6" ht="39">
      <x:c r="A6" s="82">
        <x:v>5</x:v>
      </x:c>
      <x:c r="B6" s="36" t="s">
        <x:v>11</x:v>
      </x:c>
      <x:c r="C6" s="37" t="s">
        <x:v>12</x:v>
      </x:c>
    </x:row>
    <x:row r="7" ht="52.5">
      <x:c r="A7" s="83">
        <x:v>6</x:v>
      </x:c>
      <x:c r="B7" s="21" t="s">
        <x:v>13</x:v>
      </x:c>
      <x:c r="C7" s="18" t="s">
        <x:v>14</x:v>
      </x:c>
    </x:row>
    <x:row r="9">
      <x:c r="A9" s="87" t="s">
        <x:v>15</x:v>
      </x:c>
      <x:c r="B9" s="87"/>
      <x:c r="C9" s="87"/>
      <x:c r="D9" s="87"/>
      <x:c r="E9" s="88"/>
    </x:row>
    <x:row r="10" s="12" customFormat="1" ht="13">
      <x:c r="A10" s="100" t="s">
        <x:v>16</x:v>
      </x:c>
      <x:c r="B10" s="179" t="s">
        <x:v>17</x:v>
      </x:c>
      <x:c r="C10" s="179"/>
      <x:c r="D10" s="180" t="s">
        <x:v>18</x:v>
      </x:c>
      <x:c r="E10" s="180"/>
    </x:row>
    <x:row r="11" s="12" customFormat="1" ht="27" customHeight="1">
      <x:c r="A11" s="13" t="s">
        <x:v>19</x:v>
      </x:c>
      <x:c r="B11" s="170" t="s">
        <x:v>20</x:v>
      </x:c>
      <x:c r="C11" s="170"/>
      <x:c r="D11" s="181" t="s">
        <x:v>21</x:v>
      </x:c>
      <x:c r="E11" s="174"/>
    </x:row>
    <x:row r="12" s="12" customFormat="1" ht="31" customHeight="1">
      <x:c r="A12" s="13" t="s">
        <x:v>22</x:v>
      </x:c>
      <x:c r="B12" s="170" t="s">
        <x:v>23</x:v>
      </x:c>
      <x:c r="C12" s="170"/>
      <x:c r="D12" s="181" t="s">
        <x:v>24</x:v>
      </x:c>
      <x:c r="E12" s="174"/>
      <x:c r="F12"/>
    </x:row>
    <x:row r="13" s="12" customFormat="1" ht="29.5" customHeight="1">
      <x:c r="A13" s="13" t="s">
        <x:v>25</x:v>
      </x:c>
      <x:c r="B13" s="170" t="s">
        <x:v>26</x:v>
      </x:c>
      <x:c r="C13" s="170"/>
      <x:c r="D13" s="181" t="s">
        <x:v>27</x:v>
      </x:c>
      <x:c r="E13" s="174"/>
      <x:c r="F13"/>
    </x:row>
    <x:row r="14" s="12" customFormat="1" ht="39.5" customHeight="1">
      <x:c r="A14" s="13" t="s">
        <x:v>28</x:v>
      </x:c>
      <x:c r="B14" s="170" t="s">
        <x:v>29</x:v>
      </x:c>
      <x:c r="C14" s="170"/>
      <x:c r="D14" s="181" t="s">
        <x:v>30</x:v>
      </x:c>
      <x:c r="E14" s="174"/>
      <x:c r="F14"/>
    </x:row>
    <x:row r="15" s="12" customFormat="1" ht="28.5" customHeight="1">
      <x:c r="A15" s="13" t="s">
        <x:v>31</x:v>
      </x:c>
      <x:c r="B15" s="170" t="s">
        <x:v>32</x:v>
      </x:c>
      <x:c r="C15" s="170"/>
      <x:c r="D15" s="181" t="s">
        <x:v>33</x:v>
      </x:c>
      <x:c r="E15" s="174"/>
      <x:c r="F15"/>
    </x:row>
    <x:row r="16" s="12" customFormat="1" ht="48" customHeight="1">
      <x:c r="A16" s="13" t="s">
        <x:v>34</x:v>
      </x:c>
      <x:c r="B16" s="170" t="s">
        <x:v>35</x:v>
      </x:c>
      <x:c r="C16" s="170"/>
      <x:c r="D16" s="181" t="s">
        <x:v>36</x:v>
      </x:c>
      <x:c r="E16" s="174"/>
      <x:c r="F16"/>
    </x:row>
    <x:row r="17" s="12" customFormat="1" ht="30" customHeight="1">
      <x:c r="A17" s="13" t="s">
        <x:v>37</x:v>
      </x:c>
      <x:c r="B17" s="170" t="s">
        <x:v>38</x:v>
      </x:c>
      <x:c r="C17" s="170"/>
      <x:c r="D17" s="181" t="s">
        <x:v>39</x:v>
      </x:c>
      <x:c r="E17" s="174"/>
      <x:c r="F17"/>
    </x:row>
    <x:row r="18" s="12" customFormat="1" ht="30" customHeight="1">
      <x:c r="A18" s="13" t="s">
        <x:v>40</x:v>
      </x:c>
      <x:c r="B18" s="170" t="s">
        <x:v>41</x:v>
      </x:c>
      <x:c r="C18" s="170"/>
      <x:c r="D18" s="181" t="s">
        <x:v>42</x:v>
      </x:c>
      <x:c r="E18" s="174"/>
      <x:c r="F18"/>
    </x:row>
    <x:row r="19" s="12" customFormat="1" ht="29.5" customHeight="1">
      <x:c r="A19" s="13" t="s">
        <x:v>43</x:v>
      </x:c>
      <x:c r="B19" s="170" t="s">
        <x:v>44</x:v>
      </x:c>
      <x:c r="C19" s="170"/>
      <x:c r="D19" s="181" t="s">
        <x:v>45</x:v>
      </x:c>
      <x:c r="E19" s="174"/>
      <x:c r="F19"/>
    </x:row>
    <x:row r="20" s="12" customFormat="1" ht="15" customHeight="1">
      <x:c r="A20" s="13" t="s">
        <x:v>46</x:v>
      </x:c>
      <x:c r="B20" s="170" t="s">
        <x:v>47</x:v>
      </x:c>
      <x:c r="C20" s="170"/>
      <x:c r="D20" s="181" t="s">
        <x:v>48</x:v>
      </x:c>
      <x:c r="E20" s="174"/>
      <x:c r="F20"/>
    </x:row>
    <x:row r="21">
      <x:c r="E21" s="103"/>
    </x:row>
    <x:row r="22">
      <x:c r="A22" s="87" t="s">
        <x:v>49</x:v>
      </x:c>
      <x:c r="B22" s="87"/>
      <x:c r="C22" s="87"/>
      <x:c r="D22" s="87"/>
      <x:c r="E22" s="88"/>
    </x:row>
    <x:row r="23">
      <x:c r="A23" s="22" t="s">
        <x:v>50</x:v>
      </x:c>
      <x:c r="B23" s="22" t="s">
        <x:v>51</x:v>
      </x:c>
      <x:c r="C23" s="22" t="s">
        <x:v>52</x:v>
      </x:c>
      <x:c r="D23" s="175" t="s">
        <x:v>53</x:v>
      </x:c>
      <x:c r="E23" s="176"/>
    </x:row>
    <x:row r="24" s="14" customFormat="1" ht="29.5" customHeight="1">
      <x:c r="A24" s="16" t="s">
        <x:v>54</x:v>
      </x:c>
      <x:c r="B24" s="16" t="s">
        <x:v>55</x:v>
      </x:c>
      <x:c r="C24" s="16" t="s">
        <x:v>56</x:v>
      </x:c>
      <x:c r="D24" s="177" t="s">
        <x:v>57</x:v>
      </x:c>
      <x:c r="E24" s="178"/>
    </x:row>
    <x:row r="25" s="14" customFormat="1" ht="42" customHeight="1">
      <x:c r="A25" s="16" t="s">
        <x:v>54</x:v>
      </x:c>
      <x:c r="B25" s="16" t="s">
        <x:v>58</x:v>
      </x:c>
      <x:c r="C25" s="16" t="s">
        <x:v>59</x:v>
      </x:c>
      <x:c r="D25" s="177" t="s">
        <x:v>60</x:v>
      </x:c>
      <x:c r="E25" s="178"/>
    </x:row>
    <x:row r="26" s="14" customFormat="1" ht="40" customHeight="1">
      <x:c r="A26" s="16" t="s">
        <x:v>54</x:v>
      </x:c>
      <x:c r="B26" s="16" t="s">
        <x:v>61</x:v>
      </x:c>
      <x:c r="C26" s="16" t="s">
        <x:v>62</x:v>
      </x:c>
      <x:c r="D26" s="177" t="s">
        <x:v>63</x:v>
      </x:c>
      <x:c r="E26" s="178"/>
    </x:row>
    <x:row r="27" s="14" customFormat="1" ht="34.5" customHeight="1">
      <x:c r="A27" s="16" t="s">
        <x:v>54</x:v>
      </x:c>
      <x:c r="B27" s="91" t="s">
        <x:v>64</x:v>
      </x:c>
      <x:c r="C27" s="91" t="s">
        <x:v>65</x:v>
      </x:c>
      <x:c r="D27" s="177" t="s">
        <x:v>66</x:v>
      </x:c>
      <x:c r="E27" s="178"/>
    </x:row>
    <x:row r="28" s="14" customFormat="1" ht="45.75" customHeight="1">
      <x:c r="A28" s="101" t="s">
        <x:v>67</x:v>
      </x:c>
      <x:c r="B28" s="90" t="s">
        <x:v>68</x:v>
      </x:c>
      <x:c r="C28" s="94" t="s">
        <x:v>69</x:v>
      </x:c>
      <x:c r="D28" s="185" t="s">
        <x:v>70</x:v>
      </x:c>
      <x:c r="E28" s="178"/>
    </x:row>
    <x:row r="29" s="14" customFormat="1" ht="43.5" customHeight="1">
      <x:c r="A29" s="16" t="s">
        <x:v>67</x:v>
      </x:c>
      <x:c r="B29" s="92" t="s">
        <x:v>71</x:v>
      </x:c>
      <x:c r="C29" s="92" t="s">
        <x:v>72</x:v>
      </x:c>
      <x:c r="D29" s="177" t="s">
        <x:v>73</x:v>
      </x:c>
      <x:c r="E29" s="178"/>
    </x:row>
    <x:row r="30" s="14" customFormat="1" ht="44.150001525878906" customHeight="1">
      <x:c r="A30" s="16" t="s">
        <x:v>67</x:v>
      </x:c>
      <x:c r="B30" s="16" t="s">
        <x:v>74</x:v>
      </x:c>
      <x:c r="C30" s="16" t="s">
        <x:v>75</x:v>
      </x:c>
      <x:c r="D30" s="177" t="s">
        <x:v>76</x:v>
      </x:c>
      <x:c r="E30" s="178"/>
    </x:row>
    <x:row r="31" s="14" customFormat="1" ht="37.5" customHeight="1">
      <x:c r="A31" s="91" t="s">
        <x:v>67</x:v>
      </x:c>
      <x:c r="B31" s="91" t="s">
        <x:v>77</x:v>
      </x:c>
      <x:c r="C31" s="91" t="s">
        <x:v>78</x:v>
      </x:c>
      <x:c r="D31" s="177" t="s">
        <x:v>79</x:v>
      </x:c>
      <x:c r="E31" s="178"/>
    </x:row>
    <x:row r="32" s="14" customFormat="1" ht="37.5" customHeight="1">
      <x:c r="A32" s="90" t="s">
        <x:v>80</x:v>
      </x:c>
      <x:c r="B32" s="90" t="s">
        <x:v>80</x:v>
      </x:c>
      <x:c r="C32" s="90" t="s">
        <x:v>81</x:v>
      </x:c>
      <x:c r="D32" s="185" t="s">
        <x:v>82</x:v>
      </x:c>
      <x:c r="E32" s="178"/>
    </x:row>
    <x:row r="33" s="14" customFormat="1">
      <x:c r="A33" s="171" t="s">
        <x:v>83</x:v>
      </x:c>
      <x:c r="B33" s="172"/>
      <x:c r="C33" s="172"/>
      <x:c r="D33" s="173"/>
      <x:c r="E33" s="174"/>
    </x:row>
    <x:row r="35">
      <x:c r="A35" s="87" t="s">
        <x:v>84</x:v>
      </x:c>
      <x:c r="B35" s="87"/>
      <x:c r="C35" s="87"/>
      <x:c r="D35" s="87"/>
      <x:c r="E35" s="88"/>
    </x:row>
    <x:row r="36" ht="371.1499938964844" customHeight="1">
      <x:c r="A36" s="182" t="s">
        <x:v>85</x:v>
      </x:c>
      <x:c r="B36" s="183"/>
      <x:c r="C36" s="183"/>
      <x:c r="D36" s="183"/>
      <x:c r="E36" s="184"/>
    </x:row>
    <x:row r="38">
      <x:c r="A38" s="93" t="s">
        <x:v>86</x:v>
      </x:c>
    </x:row>
    <x:row r="39" ht="299.5" customHeight="1">
      <x:c r="A39" s="182" t="s">
        <x:v>87</x:v>
      </x:c>
      <x:c r="B39" s="183"/>
      <x:c r="C39" s="183"/>
      <x:c r="D39" s="183"/>
      <x:c r="E39" s="184"/>
    </x:row>
  </x:sheetData>
  <x:mergeCells>
    <x:mergeCell ref="A39:E39"/>
    <x:mergeCell ref="D20:E20"/>
    <x:mergeCell ref="D15:E15"/>
    <x:mergeCell ref="D16:E16"/>
    <x:mergeCell ref="D17:E17"/>
    <x:mergeCell ref="D18:E18"/>
    <x:mergeCell ref="D19:E19"/>
    <x:mergeCell ref="D25:E25"/>
    <x:mergeCell ref="D31:E31"/>
    <x:mergeCell ref="D26:E26"/>
    <x:mergeCell ref="D27:E27"/>
    <x:mergeCell ref="D28:E28"/>
    <x:mergeCell ref="D29:E29"/>
    <x:mergeCell ref="D30:E30"/>
    <x:mergeCell ref="D32:E32"/>
    <x:mergeCell ref="A36:E36"/>
    <x:mergeCell ref="D10:E10"/>
    <x:mergeCell ref="D11:E11"/>
    <x:mergeCell ref="D12:E12"/>
    <x:mergeCell ref="D13:E13"/>
    <x:mergeCell ref="D14:E14"/>
    <x:mergeCell ref="B10:C10"/>
    <x:mergeCell ref="B17:C17"/>
    <x:mergeCell ref="B18:C18"/>
    <x:mergeCell ref="B19:C19"/>
    <x:mergeCell ref="B12:C12"/>
    <x:mergeCell ref="B13:C13"/>
    <x:mergeCell ref="B14:C14"/>
    <x:mergeCell ref="B15:C15"/>
    <x:mergeCell ref="B16:C16"/>
    <x:mergeCell ref="B20:C20"/>
    <x:mergeCell ref="A33:E33"/>
    <x:mergeCell ref="D23:E23"/>
    <x:mergeCell ref="D24:E24"/>
    <x:mergeCell ref="B11:C11"/>
  </x:mergeCells>
  <x:pageMargins left="0.7" right="0.7" top="0.75" bottom="0.75" header="0.3" footer="0.3"/>
</x:worksheet>
</file>

<file path=xl/worksheets/sheet2.xml><?xml version="1.0" encoding="utf-8"?>
<x:worksheet xmlns:x="http://schemas.openxmlformats.org/spreadsheetml/2006/main">
  <x:sheetPr>
    <x:tabColor indexed="44"/>
  </x:sheetPr>
  <x:sheetFormatPr defaultColWidth="7" defaultRowHeight="13"/>
  <x:cols>
    <x:col min="1" max="1" width="2.42578125" style="23" customWidth="1"/>
    <x:col min="2" max="2" width="6.640625" style="23" customWidth="1"/>
    <x:col min="3" max="3" width="11" style="23" customWidth="1"/>
    <x:col min="4" max="4" width="63.35546875" style="23" customWidth="1"/>
    <x:col min="5" max="5" width="34.35546875" style="23" customWidth="1"/>
    <x:col min="6" max="6" width="36.42578125" style="23" customWidth="1"/>
    <x:col min="7" max="7" width="2.42578125" style="23" customWidth="1"/>
    <x:col min="8" max="16384" width="7" style="23" customWidth="0"/>
  </x:cols>
  <x:sheetData>
    <x:row r="2" ht="23.5">
      <x:c r="A2" s="191" t="s">
        <x:v>88</x:v>
      </x:c>
      <x:c r="B2" s="192"/>
      <x:c r="C2" s="192"/>
      <x:c r="D2" s="192"/>
      <x:c r="E2" s="192"/>
      <x:c r="F2" s="192"/>
    </x:row>
    <x:row r="3" ht="38.5" customHeight="1">
      <x:c r="B3" s="24"/>
      <x:c r="C3" s="24"/>
      <x:c r="D3" s="25"/>
      <x:c r="E3" s="193" t="s">
        <x:v>89</x:v>
      </x:c>
      <x:c r="F3" s="194"/>
    </x:row>
    <x:row r="5" s="26" customFormat="1" ht="26">
      <x:c r="A5" s="40" t="s">
        <x:v>90</x:v>
      </x:c>
      <x:c r="B5" s="41" t="s">
        <x:v>91</x:v>
      </x:c>
      <x:c r="C5" s="42" t="s">
        <x:v>92</x:v>
      </x:c>
      <x:c r="D5" s="43" t="s">
        <x:v>93</x:v>
      </x:c>
      <x:c r="E5" s="44" t="s">
        <x:v>94</x:v>
      </x:c>
      <x:c r="F5" s="44" t="s">
        <x:v>95</x:v>
      </x:c>
    </x:row>
    <x:row r="6" s="26" customFormat="1" ht="48">
      <x:c r="A6" s="195" t="s">
        <x:v>96</x:v>
      </x:c>
      <x:c r="B6" s="198" t="s">
        <x:v>97</x:v>
      </x:c>
      <x:c r="C6" s="45" t="s">
        <x:v>98</x:v>
      </x:c>
      <x:c r="D6" s="46" t="s">
        <x:v>99</x:v>
      </x:c>
      <x:c r="E6" s="47" t="s">
        <x:v>90</x:v>
      </x:c>
      <x:c r="F6" s="95" t="s">
        <x:v>100</x:v>
      </x:c>
    </x:row>
    <x:row r="7" s="26" customFormat="1" ht="84">
      <x:c r="A7" s="196"/>
      <x:c r="B7" s="199"/>
      <x:c r="C7" s="48" t="s">
        <x:v>101</x:v>
      </x:c>
      <x:c r="D7" s="64" t="s">
        <x:v>102</x:v>
      </x:c>
      <x:c r="E7" s="50" t="s">
        <x:v>90</x:v>
      </x:c>
      <x:c r="F7" s="96" t="s">
        <x:v>103</x:v>
      </x:c>
    </x:row>
    <x:row r="8" s="26" customFormat="1" ht="168">
      <x:c r="A8" s="196"/>
      <x:c r="B8" s="200" t="s">
        <x:v>104</x:v>
      </x:c>
      <x:c r="C8" s="65" t="s">
        <x:v>105</x:v>
      </x:c>
      <x:c r="D8" s="66" t="s">
        <x:v>106</x:v>
      </x:c>
      <x:c r="E8" s="52" t="s">
        <x:v>90</x:v>
      </x:c>
      <x:c r="F8" s="53" t="s">
        <x:v>107</x:v>
      </x:c>
    </x:row>
    <x:row r="9" s="26" customFormat="1" ht="120">
      <x:c r="A9" s="196"/>
      <x:c r="B9" s="201"/>
      <x:c r="C9" s="48" t="s">
        <x:v>108</x:v>
      </x:c>
      <x:c r="D9" s="105" t="s">
        <x:v>109</x:v>
      </x:c>
      <x:c r="E9" s="54" t="s">
        <x:v>90</x:v>
      </x:c>
      <x:c r="F9" s="54" t="s">
        <x:v>90</x:v>
      </x:c>
    </x:row>
    <x:row r="10" s="26" customFormat="1" ht="156">
      <x:c r="A10" s="196"/>
      <x:c r="B10" s="55" t="s">
        <x:v>110</x:v>
      </x:c>
      <x:c r="C10" s="48" t="s">
        <x:v>110</x:v>
      </x:c>
      <x:c r="D10" s="51" t="s">
        <x:v>111</x:v>
      </x:c>
      <x:c r="E10" s="106" t="s">
        <x:v>90</x:v>
      </x:c>
      <x:c r="F10" s="56" t="s">
        <x:v>90</x:v>
      </x:c>
    </x:row>
    <x:row r="11" s="26" customFormat="1" ht="108">
      <x:c r="A11" s="196"/>
      <x:c r="B11" s="202" t="s">
        <x:v>80</x:v>
      </x:c>
      <x:c r="C11" s="57" t="s">
        <x:v>112</x:v>
      </x:c>
      <x:c r="D11" s="105" t="s">
        <x:v>113</x:v>
      </x:c>
      <x:c r="E11" s="52" t="s">
        <x:v>90</x:v>
      </x:c>
      <x:c r="F11" s="58" t="s">
        <x:v>90</x:v>
      </x:c>
    </x:row>
    <x:row r="12" s="26" customFormat="1" ht="36">
      <x:c r="A12" s="196"/>
      <x:c r="B12" s="199"/>
      <x:c r="C12" s="48" t="s">
        <x:v>114</x:v>
      </x:c>
      <x:c r="D12" s="64" t="s">
        <x:v>115</x:v>
      </x:c>
      <x:c r="E12" s="58" t="s">
        <x:v>90</x:v>
      </x:c>
      <x:c r="F12" s="59" t="s">
        <x:v>90</x:v>
      </x:c>
    </x:row>
    <x:row r="13" s="26" customFormat="1" ht="72">
      <x:c r="A13" s="196"/>
      <x:c r="B13" s="199"/>
      <x:c r="C13" s="57" t="s">
        <x:v>116</x:v>
      </x:c>
      <x:c r="D13" s="64" t="s">
        <x:v>117</x:v>
      </x:c>
      <x:c r="E13" s="58" t="s">
        <x:v>90</x:v>
      </x:c>
      <x:c r="F13" s="59" t="s">
        <x:v>90</x:v>
      </x:c>
    </x:row>
    <x:row r="14" s="26" customFormat="1" ht="72">
      <x:c r="A14" s="196"/>
      <x:c r="B14" s="199"/>
      <x:c r="C14" s="48" t="s">
        <x:v>118</x:v>
      </x:c>
      <x:c r="D14" s="64" t="s">
        <x:v>119</x:v>
      </x:c>
      <x:c r="E14" s="58" t="s">
        <x:v>90</x:v>
      </x:c>
      <x:c r="F14" s="72"/>
    </x:row>
    <x:row r="15" s="26" customFormat="1">
      <x:c r="A15" s="196"/>
      <x:c r="B15" s="199"/>
      <x:c r="C15" s="60" t="s">
        <x:v>120</x:v>
      </x:c>
      <x:c r="D15" s="49" t="s">
        <x:v>121</x:v>
      </x:c>
      <x:c r="E15" s="58" t="s">
        <x:v>90</x:v>
      </x:c>
      <x:c r="F15" s="61" t="s">
        <x:v>90</x:v>
      </x:c>
    </x:row>
    <x:row r="16" s="26" customFormat="1" ht="240">
      <x:c r="A16" s="196"/>
      <x:c r="B16" s="199"/>
      <x:c r="C16" s="62" t="s">
        <x:v>122</x:v>
      </x:c>
      <x:c r="D16" s="64" t="s">
        <x:v>123</x:v>
      </x:c>
      <x:c r="E16" s="97" t="s">
        <x:v>124</x:v>
      </x:c>
      <x:c r="F16" s="98" t="s">
        <x:v>125</x:v>
      </x:c>
    </x:row>
    <x:row r="17" s="26" customFormat="1" ht="36">
      <x:c r="A17" s="197"/>
      <x:c r="B17" s="203"/>
      <x:c r="C17" s="67" t="s">
        <x:v>126</x:v>
      </x:c>
      <x:c r="D17" s="68" t="s">
        <x:v>127</x:v>
      </x:c>
      <x:c r="E17" s="63" t="s">
        <x:v>90</x:v>
      </x:c>
      <x:c r="F17" s="69" t="s">
        <x:v>128</x:v>
      </x:c>
    </x:row>
    <x:row r="18" s="26" customFormat="1">
      <x:c r="A18" s="27"/>
      <x:c r="B18" s="28"/>
      <x:c r="C18" s="28"/>
      <x:c r="D18" s="29"/>
      <x:c r="E18" s="30"/>
      <x:c r="F18" s="30"/>
    </x:row>
    <x:row r="19" s="26" customFormat="1" ht="24">
      <x:c r="A19" s="186" t="s">
        <x:v>129</x:v>
      </x:c>
      <x:c r="B19" s="187"/>
      <x:c r="C19" s="188"/>
      <x:c r="D19" s="31" t="s">
        <x:v>130</x:v>
      </x:c>
      <x:c r="E19" s="107"/>
      <x:c r="F19" s="107"/>
    </x:row>
    <x:row r="20" s="26" customFormat="1">
      <x:c r="A20" s="32"/>
      <x:c r="B20" s="33"/>
      <x:c r="C20" s="33"/>
      <x:c r="D20" s="29"/>
      <x:c r="E20" s="30"/>
      <x:c r="F20" s="30"/>
    </x:row>
    <x:row r="21" s="26" customFormat="1" ht="24">
      <x:c r="A21" s="189" t="s">
        <x:v>131</x:v>
      </x:c>
      <x:c r="B21" s="190"/>
      <x:c r="C21" s="190"/>
      <x:c r="D21" s="70" t="s">
        <x:v>132</x:v>
      </x:c>
      <x:c r="E21" s="34"/>
      <x:c r="F21" s="71" t="s">
        <x:v>128</x:v>
      </x:c>
    </x:row>
  </x:sheetData>
  <x:mergeCells>
    <x:mergeCell ref="A19:C19"/>
    <x:mergeCell ref="A21:C21"/>
    <x:mergeCell ref="A2:F2"/>
    <x:mergeCell ref="E3:F3"/>
    <x:mergeCell ref="A6:A17"/>
    <x:mergeCell ref="B6:B7"/>
    <x:mergeCell ref="B8:B9"/>
    <x:mergeCell ref="B11:B17"/>
  </x:mergeCells>
  <x:pageMargins left="0.7" right="0.7" top="0.75" bottom="0.75" header="0.3" footer="0.3"/>
</x:worksheet>
</file>

<file path=xl/worksheets/sheet3.xml><?xml version="1.0" encoding="utf-8"?>
<x:worksheet xmlns:x="http://schemas.openxmlformats.org/spreadsheetml/2006/main">
  <x:sheetFormatPr defaultColWidth="9.140625" defaultRowHeight="16.5"/>
  <x:cols>
    <x:col min="1" max="1" width="23.85546875" style="73" customWidth="1"/>
    <x:col min="2" max="2" width="3.42578125" style="1" customWidth="1"/>
    <x:col min="3" max="3" width="14.42578125" style="1" customWidth="1"/>
    <x:col min="4" max="4" width="3.42578125" style="1" customWidth="1"/>
    <x:col min="5" max="5" width="14.42578125" style="1" customWidth="1"/>
    <x:col min="6" max="6" width="3.42578125" style="1" customWidth="1"/>
    <x:col min="7" max="7" width="14.42578125" style="1" customWidth="1"/>
    <x:col min="8" max="8" width="3.42578125" style="1" customWidth="1"/>
    <x:col min="9" max="9" width="14.42578125" style="1" customWidth="1"/>
    <x:col min="10" max="10" width="3.42578125" style="1" customWidth="1"/>
    <x:col min="11" max="13" width="14.42578125" style="2" customWidth="1"/>
    <x:col min="14" max="16384" width="9.140625" style="2" customWidth="0"/>
  </x:cols>
  <x:sheetData>
    <x:row r="1">
      <x:c r="A1" s="124" t="s">
        <x:v>133</x:v>
      </x:c>
      <x:c r="B1" s="236" t="s">
        <x:v>134</x:v>
      </x:c>
      <x:c r="C1" s="237"/>
      <x:c r="D1" s="125"/>
      <x:c r="E1" s="4"/>
      <x:c r="F1" s="126"/>
      <x:c r="G1" s="126"/>
      <x:c r="H1" s="238"/>
      <x:c r="I1" s="238"/>
    </x:row>
    <x:row r="2" ht="17">
      <x:c r="A2" s="128"/>
      <x:c r="B2" s="239"/>
      <x:c r="C2" s="240"/>
      <x:c r="D2" s="125" t="s">
        <x:v>135</x:v>
      </x:c>
      <x:c r="E2" s="125"/>
      <x:c r="F2" s="129"/>
      <x:c r="G2" s="129"/>
      <x:c r="H2" s="241"/>
      <x:c r="I2" s="241"/>
    </x:row>
    <x:row r="3">
      <x:c r="A3" s="74"/>
      <x:c r="B3" s="131"/>
      <x:c r="C3" s="131"/>
      <x:c r="D3" s="132"/>
      <x:c r="E3" s="132"/>
      <x:c r="F3" s="131"/>
      <x:c r="G3" s="131"/>
      <x:c r="H3" s="130"/>
      <x:c r="I3" s="130"/>
    </x:row>
    <x:row r="4">
      <x:c r="A4" s="242" t="s">
        <x:v>136</x:v>
      </x:c>
      <x:c r="B4" s="242"/>
      <x:c r="C4" s="242"/>
      <x:c r="D4" s="242"/>
      <x:c r="E4" s="242"/>
      <x:c r="F4" s="242"/>
      <x:c r="G4" s="242"/>
      <x:c r="H4" s="242"/>
      <x:c r="I4" s="242"/>
    </x:row>
    <x:row r="5" ht="13.5">
      <x:c r="A5" s="243" t="inlineStr">
        <x:is>
          <x:t xml:space="preserve">令和8年4月30日</x:t>
        </x:is>
      </x:c>
      <x:c r="B5" s="243"/>
      <x:c r="C5" s="243"/>
      <x:c r="D5" s="243"/>
      <x:c r="E5" s="243"/>
      <x:c r="F5" s="243"/>
      <x:c r="G5" s="243"/>
      <x:c r="H5" s="243"/>
      <x:c r="I5" s="243"/>
      <x:c r="J5" s="6" t="s">
        <x:v>137</x:v>
      </x:c>
    </x:row>
    <x:row r="6" ht="54.5" customHeight="1">
      <x:c r="A6" s="133" t="s">
        <x:v>138</x:v>
      </x:c>
      <x:c r="B6" s="244" t="inlineStr">
        <x:is>
          <x:t xml:space="preserve">要確認：e-Rad研究者番号</x:t>
        </x:is>
      </x:c>
      <x:c r="C6" s="245"/>
      <x:c r="D6" s="245"/>
      <x:c r="E6" s="245"/>
      <x:c r="F6" s="245"/>
      <x:c r="G6" s="245"/>
      <x:c r="H6" s="245"/>
      <x:c r="I6" s="246"/>
    </x:row>
    <x:row r="7" ht="78.75" customHeight="1">
      <x:c r="A7" s="134" t="s">
        <x:v>139</x:v>
      </x:c>
      <x:c r="B7" s="228" t="inlineStr">
        <x:is>
          <x:t xml:space="preserve">要確認：所属機関メールアドレス</x:t>
        </x:is>
      </x:c>
      <x:c r="C7" s="229"/>
      <x:c r="D7" s="229"/>
      <x:c r="E7" s="229"/>
      <x:c r="F7" s="229"/>
      <x:c r="G7" s="229"/>
      <x:c r="H7" s="229"/>
      <x:c r="I7" s="230"/>
    </x:row>
    <x:row r="8">
      <x:c r="A8" s="247" t="s">
        <x:v>140</x:v>
      </x:c>
      <x:c r="B8" s="213" t="s">
        <x:v>141</x:v>
      </x:c>
      <x:c r="C8" s="213"/>
      <x:c r="D8" s="228" t="inlineStr">
        <x:is>
          <x:t xml:space="preserve">要確認：氏名フリガナ</x:t>
        </x:is>
      </x:c>
      <x:c r="E8" s="229"/>
      <x:c r="F8" s="229"/>
      <x:c r="G8" s="229"/>
      <x:c r="H8" s="229"/>
      <x:c r="I8" s="230"/>
    </x:row>
    <x:row r="9">
      <x:c r="A9" s="248"/>
      <x:c r="B9" s="213" t="s">
        <x:v>142</x:v>
      </x:c>
      <x:c r="C9" s="213"/>
      <x:c r="D9" s="228" t="inlineStr">
        <x:is>
          <x:t xml:space="preserve">要確認：氏名</x:t>
        </x:is>
      </x:c>
      <x:c r="E9" s="229"/>
      <x:c r="F9" s="229"/>
      <x:c r="G9" s="229"/>
      <x:c r="H9" s="229"/>
      <x:c r="I9" s="230"/>
    </x:row>
    <x:row r="10">
      <x:c r="A10" s="135" t="s">
        <x:v>143</x:v>
      </x:c>
      <x:c r="B10" s="221" t="inlineStr">
        <x:is>
          <x:t xml:space="preserve">要確認：生年月日</x:t>
        </x:is>
      </x:c>
      <x:c r="C10" s="221"/>
      <x:c r="D10" s="221"/>
      <x:c r="E10" s="221"/>
      <x:c r="F10" s="221"/>
      <x:c r="G10" s="221"/>
      <x:c r="H10" s="221"/>
      <x:c r="I10" s="222"/>
    </x:row>
    <x:row r="11" ht="31">
      <x:c r="A11" s="136" t="s">
        <x:v>144</x:v>
      </x:c>
      <x:c r="B11" s="228" t="inlineStr">
        <x:is>
          <x:t xml:space="preserve">要確認：e-Rad所属機関コード</x:t>
        </x:is>
      </x:c>
      <x:c r="C11" s="229"/>
      <x:c r="D11" s="229"/>
      <x:c r="E11" s="229"/>
      <x:c r="F11" s="229"/>
      <x:c r="G11" s="229"/>
      <x:c r="H11" s="229"/>
      <x:c r="I11" s="230"/>
    </x:row>
    <x:row r="12">
      <x:c r="A12" s="136" t="s">
        <x:v>145</x:v>
      </x:c>
      <x:c r="B12" s="221" t="inlineStr">
        <x:is>
          <x:t xml:space="preserve">要確認：所属機関</x:t>
        </x:is>
      </x:c>
      <x:c r="C12" s="221"/>
      <x:c r="D12" s="221"/>
      <x:c r="E12" s="221"/>
      <x:c r="F12" s="221"/>
      <x:c r="G12" s="221"/>
      <x:c r="H12" s="221"/>
      <x:c r="I12" s="222"/>
    </x:row>
    <x:row r="13">
      <x:c r="A13" s="136" t="s">
        <x:v>146</x:v>
      </x:c>
      <x:c r="B13" s="221" t="inlineStr">
        <x:is>
          <x:t xml:space="preserve">要確認：部局</x:t>
        </x:is>
      </x:c>
      <x:c r="C13" s="221"/>
      <x:c r="D13" s="221"/>
      <x:c r="E13" s="221"/>
      <x:c r="F13" s="221"/>
      <x:c r="G13" s="221"/>
      <x:c r="H13" s="221"/>
      <x:c r="I13" s="222"/>
    </x:row>
    <x:row r="14">
      <x:c r="A14" s="136" t="s">
        <x:v>147</x:v>
      </x:c>
      <x:c r="B14" s="221" t="inlineStr">
        <x:is>
          <x:t xml:space="preserve">要確認：職</x:t>
        </x:is>
      </x:c>
      <x:c r="C14" s="221"/>
      <x:c r="D14" s="221"/>
      <x:c r="E14" s="221"/>
      <x:c r="F14" s="221"/>
      <x:c r="G14" s="221"/>
      <x:c r="H14" s="221"/>
      <x:c r="I14" s="222"/>
    </x:row>
    <x:row r="15">
      <x:c r="A15" s="137" t="s">
        <x:v>148</x:v>
      </x:c>
      <x:c r="B15" s="225" t="inlineStr">
        <x:is>
          <x:t xml:space="preserve">要確認：区分</x:t>
        </x:is>
      </x:c>
      <x:c r="C15" s="226"/>
      <x:c r="D15" s="226"/>
      <x:c r="E15" s="226"/>
      <x:c r="F15" s="226"/>
      <x:c r="G15" s="226"/>
      <x:c r="H15" s="226"/>
      <x:c r="I15" s="227"/>
    </x:row>
    <x:row r="16">
      <x:c r="A16" s="127"/>
      <x:c r="L16" s="123" t="s">
        <x:v>149</x:v>
      </x:c>
    </x:row>
    <x:row r="17" ht="31">
      <x:c r="A17" s="133" t="s">
        <x:v>150</x:v>
      </x:c>
      <x:c r="B17" s="231" t="inlineStr">
        <x:is>
          <x:t xml:space="preserve">電気工学・電子工学・情報科学・コンピューターサイエンス</x:t>
        </x:is>
      </x:c>
      <x:c r="C17" s="231"/>
      <x:c r="D17" s="231"/>
      <x:c r="E17" s="231"/>
      <x:c r="F17" s="231"/>
      <x:c r="G17" s="231"/>
      <x:c r="H17" s="231"/>
      <x:c r="I17" s="231"/>
      <x:c r="J17" s="231"/>
      <x:c r="K17" s="232"/>
      <x:c r="L17" s="3" t="s">
        <x:v>151</x:v>
      </x:c>
      <x:c r="M17" s="2" t="s">
        <x:v>152</x:v>
      </x:c>
    </x:row>
    <x:row r="18" ht="88">
      <x:c r="A18" s="138" t="s">
        <x:v>153</x:v>
      </x:c>
      <x:c r="B18" s="221" t="inlineStr">
        <x:is>
          <x:t xml:space="preserve">3.AIモデル開発</x:t>
        </x:is>
      </x:c>
      <x:c r="C18" s="221"/>
      <x:c r="D18" s="221"/>
      <x:c r="E18" s="221"/>
      <x:c r="F18" s="221"/>
      <x:c r="G18" s="221"/>
      <x:c r="H18" s="221"/>
      <x:c r="I18" s="221"/>
      <x:c r="J18" s="221"/>
      <x:c r="K18" s="222"/>
    </x:row>
    <x:row r="19" ht="21.5">
      <x:c r="A19" s="136" t="s">
        <x:v>154</x:v>
      </x:c>
      <x:c r="B19" s="221"/>
      <x:c r="C19" s="221"/>
      <x:c r="D19" s="221"/>
      <x:c r="E19" s="221"/>
      <x:c r="F19" s="221"/>
      <x:c r="G19" s="221"/>
      <x:c r="H19" s="221"/>
      <x:c r="I19" s="221"/>
      <x:c r="J19" s="221"/>
      <x:c r="K19" s="222"/>
    </x:row>
    <x:row r="20" ht="24">
      <x:c r="A20" s="206" t="s">
        <x:v>155</x:v>
      </x:c>
      <x:c r="B20" s="108">
        <x:v>0</x:v>
      </x:c>
      <x:c r="C20" s="9" t="s">
        <x:v>156</x:v>
      </x:c>
      <x:c r="D20" s="110">
        <x:v>0</x:v>
      </x:c>
      <x:c r="E20" s="139" t="s">
        <x:v>157</x:v>
      </x:c>
      <x:c r="F20" s="110">
        <x:v>0</x:v>
      </x:c>
      <x:c r="G20" s="139" t="s">
        <x:v>158</x:v>
      </x:c>
      <x:c r="H20" s="110">
        <x:v>1</x:v>
      </x:c>
      <x:c r="I20" s="139" t="s">
        <x:v>159</x:v>
      </x:c>
      <x:c r="J20" s="108">
        <x:v>0</x:v>
      </x:c>
      <x:c r="K20" s="10" t="s">
        <x:v>160</x:v>
      </x:c>
    </x:row>
    <x:row r="21" ht="24">
      <x:c r="A21" s="207"/>
      <x:c r="B21" s="110">
        <x:v>0</x:v>
      </x:c>
      <x:c r="C21" s="9" t="s">
        <x:v>161</x:v>
      </x:c>
      <x:c r="D21" s="110">
        <x:v>0</x:v>
      </x:c>
      <x:c r="E21" s="139" t="s">
        <x:v>162</x:v>
      </x:c>
      <x:c r="F21" s="110">
        <x:v>1</x:v>
      </x:c>
      <x:c r="G21" s="9" t="s">
        <x:v>163</x:v>
      </x:c>
      <x:c r="H21" s="233"/>
      <x:c r="I21" s="234"/>
      <x:c r="J21" s="234"/>
      <x:c r="K21" s="235"/>
    </x:row>
    <x:row r="22" ht="24">
      <x:c r="A22" s="140" t="s">
        <x:v>164</x:v>
      </x:c>
      <x:c r="B22" s="223" t="inlineStr">
        <x:is>
          <x:t xml:space="preserve">文脈付きベイズ最適化による遺伝的プログラミングの適応制御</x:t>
        </x:is>
      </x:c>
      <x:c r="C22" s="223"/>
      <x:c r="D22" s="223"/>
      <x:c r="E22" s="223"/>
      <x:c r="F22" s="223"/>
      <x:c r="G22" s="223"/>
      <x:c r="H22" s="223"/>
      <x:c r="I22" s="223"/>
      <x:c r="J22" s="223"/>
      <x:c r="K22" s="224"/>
      <x:c r="L22" s="117" t="n">
        <x:f>LEN(B22)</x:f>
        <x:v>28</x:v>
      </x:c>
      <x:c r="M22" s="118" t="n">
        <x:f>IF(B22="",0,LEN(TRIM(B22))-LEN(SUBSTITUTE(TRIM(B22)," ",""))+1)</x:f>
        <x:v>1</x:v>
      </x:c>
    </x:row>
    <x:row r="23" ht="17"/>
    <x:row r="24" ht="36">
      <x:c r="A24" s="204" t="s">
        <x:v>165</x:v>
      </x:c>
      <x:c r="B24" s="111">
        <x:v>0</x:v>
      </x:c>
      <x:c r="C24" s="142" t="s">
        <x:v>166</x:v>
      </x:c>
      <x:c r="D24" s="111">
        <x:v>0</x:v>
      </x:c>
      <x:c r="E24" s="142" t="s">
        <x:v>167</x:v>
      </x:c>
      <x:c r="F24" s="111">
        <x:v>0</x:v>
      </x:c>
      <x:c r="G24" s="142" t="s">
        <x:v>168</x:v>
      </x:c>
      <x:c r="H24" s="111">
        <x:v>0</x:v>
      </x:c>
      <x:c r="I24" s="142" t="s">
        <x:v>169</x:v>
      </x:c>
      <x:c r="J24" s="112">
        <x:v>0</x:v>
      </x:c>
      <x:c r="K24" s="143" t="s">
        <x:v>170</x:v>
      </x:c>
      <x:c r="L24" s="144"/>
    </x:row>
    <x:row r="25" ht="72">
      <x:c r="A25" s="205"/>
      <x:c r="B25" s="113">
        <x:v>1</x:v>
      </x:c>
      <x:c r="C25" s="145" t="s">
        <x:v>171</x:v>
      </x:c>
      <x:c r="D25" s="114">
        <x:v>0</x:v>
      </x:c>
      <x:c r="E25" s="145" t="s">
        <x:v>172</x:v>
      </x:c>
      <x:c r="F25" s="115">
        <x:v>0</x:v>
      </x:c>
      <x:c r="G25" s="146" t="s">
        <x:v>173</x:v>
      </x:c>
      <x:c r="H25" s="116">
        <x:v>1</x:v>
      </x:c>
      <x:c r="I25" s="146" t="s">
        <x:v>174</x:v>
      </x:c>
      <x:c r="J25" s="116">
        <x:v>0</x:v>
      </x:c>
      <x:c r="K25" s="147" t="s">
        <x:v>175</x:v>
      </x:c>
      <x:c r="L25" s="148"/>
      <x:c r="M25" s="144"/>
    </x:row>
    <x:row r="26" ht="42.5" customHeight="1">
      <x:c r="A26" s="140" t="s">
        <x:v>176</x:v>
      </x:c>
      <x:c r="B26" s="214" t="inlineStr">
        <x:is>
          <x:t xml:space="preserve">現在は、GPを制御対象、ベイズ最適化を制御器とみなす研究用コードを作成し、toy engine上で文脈ベクトル、報酬関数、閉ループ実行器、構造多様性指標の動作確認を進めている。AIを用いた探索過程の状態把握と操作率更新を、実GPへ接続する準備段階である。</x:t>
        </x:is>
      </x:c>
      <x:c r="C26" s="215"/>
      <x:c r="D26" s="215"/>
      <x:c r="E26" s="215"/>
      <x:c r="F26" s="215"/>
      <x:c r="G26" s="215"/>
      <x:c r="H26" s="215"/>
      <x:c r="I26" s="215"/>
      <x:c r="J26" s="215"/>
      <x:c r="K26" s="216"/>
      <x:c r="L26" s="117" t="n">
        <x:f>LEN(B26)</x:f>
        <x:v>127</x:v>
      </x:c>
      <x:c r="M26" s="118" t="n">
        <x:f>IF(B26="",0,LEN(TRIM(B26))-LEN(SUBSTITUTE(TRIM(B26)," ",""))+1)</x:f>
        <x:v>2</x:v>
      </x:c>
    </x:row>
    <x:row r="27" ht="17"/>
    <x:row r="28" ht="13">
      <x:c r="A28" s="217" t="s">
        <x:v>177</x:v>
      </x:c>
      <x:c r="B28" s="208"/>
      <x:c r="C28" s="210" t="s">
        <x:v>178</x:v>
      </x:c>
      <x:c r="D28" s="210" t="s">
        <x:v>179</x:v>
      </x:c>
      <x:c r="E28" s="210"/>
      <x:c r="F28" s="210"/>
      <x:c r="G28" s="210"/>
      <x:c r="H28" s="210"/>
      <x:c r="I28" s="210"/>
      <x:c r="J28" s="210"/>
      <x:c r="K28" s="210"/>
      <x:c r="L28" s="212"/>
    </x:row>
    <x:row r="29" ht="13">
      <x:c r="A29" s="218"/>
      <x:c r="B29" s="209"/>
      <x:c r="C29" s="211"/>
      <x:c r="D29" s="213" t="s">
        <x:v>180</x:v>
      </x:c>
      <x:c r="E29" s="213"/>
      <x:c r="F29" s="213" t="s">
        <x:v>181</x:v>
      </x:c>
      <x:c r="G29" s="213"/>
      <x:c r="H29" s="213" t="s">
        <x:v>108</x:v>
      </x:c>
      <x:c r="I29" s="213"/>
      <x:c r="J29" s="211" t="s">
        <x:v>110</x:v>
      </x:c>
      <x:c r="K29" s="211"/>
      <x:c r="L29" s="149" t="s">
        <x:v>13</x:v>
      </x:c>
    </x:row>
    <x:row r="30" ht="26" customHeight="1">
      <x:c r="A30" s="219"/>
      <x:c r="B30" s="150" t="s">
        <x:v>182</x:v>
      </x:c>
      <x:c r="C30" s="141" t="n">
        <x:f>SUM(D30:L30)</x:f>
        <x:v>0</x:v>
      </x:c>
      <x:c r="D30" s="220" t="n">
        <x:f>'研究計画調書_3枚目'!E9</x:f>
        <x:v>0</x:v>
      </x:c>
      <x:c r="E30" s="220"/>
      <x:c r="F30" s="220" t="n">
        <x:f>'研究計画調書_3枚目'!G9</x:f>
        <x:v>0</x:v>
      </x:c>
      <x:c r="G30" s="220"/>
      <x:c r="H30" s="220" t="n">
        <x:f>'研究計画調書_3枚目'!B17</x:f>
        <x:v>0</x:v>
      </x:c>
      <x:c r="I30" s="220"/>
      <x:c r="J30" s="220" t="n">
        <x:f>SUM('研究計画調書_3枚目'!D17,'研究計画調書_3枚目'!F17)</x:f>
        <x:v>0</x:v>
      </x:c>
      <x:c r="K30" s="220"/>
      <x:c r="L30" s="151" t="n">
        <x:f>'研究計画調書_3枚目'!B27</x:f>
        <x:v>0</x:v>
      </x:c>
    </x:row>
    <x:row r="31" ht="13">
      <x:c r="A31" s="152"/>
      <x:c r="B31" s="127"/>
      <x:c r="C31" s="3"/>
      <x:c r="D31" s="132"/>
      <x:c r="E31" s="132"/>
      <x:c r="F31" s="132"/>
      <x:c r="G31" s="132"/>
      <x:c r="H31" s="132"/>
      <x:c r="I31" s="132"/>
      <x:c r="J31" s="3"/>
      <x:c r="K31" s="3"/>
    </x:row>
  </x:sheetData>
  <x:mergeCells>
    <x:mergeCell ref="A5:I5"/>
    <x:mergeCell ref="B6:I6"/>
    <x:mergeCell ref="B7:I7"/>
    <x:mergeCell ref="A8:A9"/>
    <x:mergeCell ref="B8:C8"/>
    <x:mergeCell ref="D8:I8"/>
    <x:mergeCell ref="B9:C9"/>
    <x:mergeCell ref="D9:I9"/>
    <x:mergeCell ref="B1:C1"/>
    <x:mergeCell ref="H1:I1"/>
    <x:mergeCell ref="B2:C2"/>
    <x:mergeCell ref="H2:I2"/>
    <x:mergeCell ref="A4:I4"/>
    <x:mergeCell ref="B10:I10"/>
    <x:mergeCell ref="B18:K18"/>
    <x:mergeCell ref="B22:K22"/>
    <x:mergeCell ref="B13:I13"/>
    <x:mergeCell ref="B14:I14"/>
    <x:mergeCell ref="B15:I15"/>
    <x:mergeCell ref="B11:I11"/>
    <x:mergeCell ref="B17:K17"/>
    <x:mergeCell ref="B19:K19"/>
    <x:mergeCell ref="H21:K21"/>
    <x:mergeCell ref="B12:I12"/>
    <x:mergeCell ref="A24:A25"/>
    <x:mergeCell ref="A20:A21"/>
    <x:mergeCell ref="B28:B29"/>
    <x:mergeCell ref="C28:C29"/>
    <x:mergeCell ref="D28:L28"/>
    <x:mergeCell ref="D29:E29"/>
    <x:mergeCell ref="F29:G29"/>
    <x:mergeCell ref="H29:I29"/>
    <x:mergeCell ref="J29:K29"/>
    <x:mergeCell ref="B26:K26"/>
    <x:mergeCell ref="A28:A30"/>
    <x:mergeCell ref="J30:K30"/>
    <x:mergeCell ref="D30:E30"/>
    <x:mergeCell ref="F30:G30"/>
    <x:mergeCell ref="H30:I30"/>
  </x:mergeCells>
  <x:conditionalFormatting sqref="B6:I7 D8:I9 B10:I10 B11:B11 B12:I14 B15:B15 B17:B19 B21:G21 B22:B22 B26:B26 C30:J30 L30:L30">
    <x:cfRule type="expression" dxfId="33" priority="12">
      <x:formula>B6=""</x:formula>
    </x:cfRule>
  </x:conditionalFormatting>
  <x:conditionalFormatting sqref="B20:K20">
    <x:cfRule type="expression" dxfId="32" priority="6">
      <x:formula>B20=""</x:formula>
    </x:cfRule>
  </x:conditionalFormatting>
  <x:conditionalFormatting sqref="L22:L22">
    <x:cfRule type="expression" dxfId="31" priority="3">
      <x:formula>LEN(B22)&gt;50</x:formula>
    </x:cfRule>
  </x:conditionalFormatting>
  <x:conditionalFormatting sqref="L26:L26">
    <x:cfRule type="expression" dxfId="30" priority="5">
      <x:formula>LEN(B26)&gt;200</x:formula>
    </x:cfRule>
  </x:conditionalFormatting>
  <x:conditionalFormatting sqref="M22:M22">
    <x:cfRule type="expression" dxfId="29" priority="1">
      <x:formula>LEN(B22)&gt;50</x:formula>
    </x:cfRule>
  </x:conditionalFormatting>
  <x:conditionalFormatting sqref="M26:M26">
    <x:cfRule type="expression" dxfId="28" priority="2">
      <x:formula>LEN(B26)&gt;200</x:formula>
    </x:cfRule>
  </x:conditionalFormatting>
  <x:dataValidations count="6">
    <x:dataValidation type="whole" allowBlank="1" showInputMessage="1" showErrorMessage="1" sqref="B10:I10">
      <x:formula1>9999999</x:formula1>
      <x:formula2>100000000</x:formula2>
    </x:dataValidation>
    <x:dataValidation type="whole" operator="greaterThan" allowBlank="1" showInputMessage="1" showErrorMessage="1" sqref="B11:I11">
      <x:formula1>0</x:formula1>
    </x:dataValidation>
    <x:dataValidation type="whole" allowBlank="1" showInputMessage="1" showErrorMessage="1" sqref="C30:L30">
      <x:formula1>0</x:formula1>
      <x:formula2>5000</x:formula2>
    </x:dataValidation>
    <x:dataValidation imeMode="fullKatakana" allowBlank="1" showInputMessage="1" showErrorMessage="1" sqref="D8:I8"/>
    <x:dataValidation imeMode="off" allowBlank="1" showInputMessage="1" showErrorMessage="1" sqref="B7:I7"/>
    <x:dataValidation type="whole" allowBlank="1" showInputMessage="1" showErrorMessage="1" sqref="B6:I6">
      <x:formula1>0</x:formula1>
      <x:formula2>100000000</x:formula2>
    </x:dataValidation>
  </x:dataValidations>
  <x:pageMargins left="0.7" right="0.7" top="0.75" bottom="0.75" header="0.3" footer="0.3"/>
</x:worksheet>
</file>

<file path=xl/worksheets/sheet4.xml><?xml version="1.0" encoding="utf-8"?>
<x:worksheet xmlns:x="http://schemas.openxmlformats.org/spreadsheetml/2006/main">
  <x:sheetFormatPr defaultColWidth="9.140625" defaultRowHeight="16.5"/>
  <x:cols>
    <x:col min="1" max="1" width="96.640625" style="73" customWidth="1"/>
    <x:col min="2" max="2" width="10" style="1" customWidth="1"/>
    <x:col min="3" max="3" width="14.78515625" style="1" customWidth="1"/>
    <x:col min="4" max="16384" width="9.140625" style="2" customWidth="0"/>
  </x:cols>
  <x:sheetData>
    <x:row r="1" ht="30" customHeight="1">
      <x:c r="A1" s="121" t="s">
        <x:v>183</x:v>
      </x:c>
      <x:c r="B1" s="6" t="s">
        <x:v>184</x:v>
      </x:c>
      <x:c r="C1" s="3"/>
    </x:row>
    <x:row r="2" ht="36">
      <x:c r="A2" s="122" t="s">
        <x:v>185</x:v>
      </x:c>
      <x:c r="B2" s="3" t="s">
        <x:v>151</x:v>
      </x:c>
      <x:c r="C2" s="2" t="s">
        <x:v>152</x:v>
      </x:c>
    </x:row>
    <x:row r="3" ht="13">
      <x:c r="A3" s="153" t="inlineStr">
        <x:is>
          <x:t xml:space="preserve">本研究の目的は、科学研究で用いる記号回帰・数理モデリングにおいて、単一の最適解ではなく複数の有用な候補解を得る多目的遺伝的プログラミング（GP）の探索過程をAIにより制御することである。多目的GPでは、予測精度、式の簡潔さ、多様性などを同時に扱える一方、交叉率・突然変異率・更新周期を固定すると、探索初期、停滞期、収束期で必要な探索強度が変化しても対応できず、早期収束や多様性低下、木構造の肥大化が生じる。本研究では、集団の性能、多様性、停滞、複雑度を文脈として観測し、文脈付きベイズ最適化で操作率と更新周期を逐次制御する。これにより、収束性と候補解集合の多様性を両立する条件を検証し、科学的モデル探索に転用可能なAI制御の設計知見を得る。</x:t>
        </x:is>
      </x:c>
      <x:c r="B3" s="117" t="n">
        <x:f>LEN(A3)</x:f>
        <x:v>320</x:v>
      </x:c>
      <x:c r="C3" s="118" t="n">
        <x:f>IF(A3="",0,LEN(TRIM(A3))-LEN(SUBSTITUTE(TRIM(A3)," ",""))+1)</x:f>
        <x:v>1</x:v>
      </x:c>
    </x:row>
    <x:row r="4" ht="36">
      <x:c r="A4" s="119" t="s">
        <x:v>186</x:v>
      </x:c>
    </x:row>
    <x:row r="5" ht="13">
      <x:c r="A5" s="153" t="inlineStr">
        <x:is>
          <x:t xml:space="preserve">研究は、1.観測基盤の構築、2.閉ループAI制御器の開発、3.実証評価と要因分析の3段階で進める。1.観測基盤の構築では、多目的GPの探索過程を記録できる予備検証用の環境を整え、各時点での進行度、目的関数に基づく候補解集合の品質、直近の改善量、候補解の多様性、停滞の長さ、解表現の複雑さを記録する。これらを、探索が順調に収束しているか、多様性を失っていないか、解が過度に複雑化していないかを表す状態情報として整理する。2.閉ループAI制御器の開発では、この状態情報をもとに、文脈付きベイズ最適化が次の区間で用いる交叉率、突然変異率、更新周期を提案する仕組みを作る。実行後には、収束の改善と候補解集合の多様性維持をまとめた評価値を計算し、その結果をAIに追加学習させる。3.実証評価と要因分析では、固定した操作率を使う方法、手作業で決めた切替方法、状態を見ない最適化方法と比較する。データは、既知の数式から作る入出力データや公開されている記号回帰ベンチマークを用い、生成条件、前処理、評価回数を記録する。評価では、得られたパレート解集合の質と広がり、多様性、停滞の少なさ、解の複雑さ、計算時間を確認する。必要に応じて、パレート解集合の広がりを数値化するハイパーボリューム指標も用いる。さらに、状態情報や評価値の一部を一つずつ外す検証を行い、収束性と多様性の両立に効く要素を明らかにする。複数の初期条件で試行し、平均値だけでなくばらつきも確認する。</x:t>
        </x:is>
      </x:c>
      <x:c r="B5" s="117" t="n">
        <x:f>LEN(A5)</x:f>
        <x:v>622</x:v>
      </x:c>
      <x:c r="C5" s="118" t="n">
        <x:f>IF(A5="",0,LEN(TRIM(A5))-LEN(SUBSTITUTE(TRIM(A5)," ",""))+1)</x:f>
        <x:v>1</x:v>
      </x:c>
    </x:row>
    <x:row r="6" ht="36">
      <x:c r="A6" s="120" t="s">
        <x:v>187</x:v>
      </x:c>
    </x:row>
    <x:row r="7" ht="13">
      <x:c r="A7" s="153" t="str">
        <x:v>本研究におけるAI利活用の必要性・妥当性は、主に三点に整理できる。第一に、多目的GPの探索状態を人手の経験則ではなく、データに基づいて逐次判断する必要がある点である。多目的GPでは、予測精度、候補解集合の多様性、式の複雑さを同時に扱うため、探索初期、停滞期、収束期で望ましい交叉率、突然変異率、更新周期が変化する。固定値や総当たり探索ではこの変化に対応しにくいため、本研究では、性能、多様性、停滞、複雑度を観測し、過去の試行結果から次に有望な制御条件を推定するAIとして文脈付きベイズ最適化を用いる。この手法は、状態と操作の関係が事前に明らかでなく、各試行に計算時間を要し、結果にばらつきがあるGPに適しており、少ない試行で制御方策を改善できる。第二に、限られた研究期間で概念実証を行うには、複数検証の効率化が不可欠である。操作率、更新周期、乱数種、問題設定を組み合わせると検証条件は多く、手作業では結果収集や記録整理に時間を要する。AIにより、次に試す条件の提案、実験ログの整理、指標計算、停滞や多様性低下の検出を半自動化し、研究者は解釈と手法改善に集中できる。第三に、本研究は単に良い設定を一度見つけることではなく、科学的記号回帰・数理モデリングに使えるAI制御の知見を得ることを目指す。状態、選択、結果を保存することで、成功した試行だけでなく、うまく機能しなかった条件からも、どの局面で探索を広げるべきか、どの局面で収束を促すべきかを分析できる。実現可能性については、研究ノートで手法仕様と検証手順を整理済みであり、研究期間内に簡易GP環境、状態指標、評価指標、制御器、記録機能を段階的に整える計画である。</x:v>
      </x:c>
      <x:c r="B7" s="117" t="n">
        <x:f>LEN(A7)</x:f>
        <x:v>706</x:v>
      </x:c>
      <x:c r="C7" s="118" t="n">
        <x:f>IF(A7="",0,LEN(TRIM(A7))-LEN(SUBSTITUTE(TRIM(A7)," ",""))+1)</x:f>
        <x:v>1</x:v>
      </x:c>
    </x:row>
    <x:row r="8" ht="37.5" customHeight="1">
      <x:c r="A8" s="119" t="s">
        <x:v>188</x:v>
      </x:c>
    </x:row>
    <x:row r="9" ht="13">
      <x:c r="A9" s="153" t="str">
        <x:v>3か月後までに、予備検証用の簡易GP環境、状態指標、評価指標、実験ログ形式を整え、固定した操作率を使う方法、手作業で決めた切替方法、状態を見ない最適化方法と同一条件で比較できる状態にする。あわせて、複数の乱数条件で小規模実験を行い、操作率と更新周期の変化、候補解集合の質、多様性、式の複雑さを記録し、比較可能な中間結果を得る。6か月後までに、予備検証環境で作成した制御器を多目的GPの探索過程に組み込み、提案手法が収束性と候補解集合の多様性維持を両立できるかを予備的に検証する。さらに、状態情報や評価指標の一部を外した確認を行い、どの要素が制御に効いているかを整理する。最終成果物として、動作する試作システム、比較実験結果、評価ログ、主要な図表、うまく機能した条件と限界をまとめ、次段階の論文化と実データ適用に進むための研究ノウハウを残す。</x:v>
      </x:c>
      <x:c r="B9" s="117" t="n">
        <x:f>LEN(A9)</x:f>
        <x:v>370</x:v>
      </x:c>
      <x:c r="C9" s="118" t="n">
        <x:f>IF(A9="",0,LEN(TRIM(A9))-LEN(SUBSTITUTE(TRIM(A9)," ",""))+1)</x:f>
        <x:v>1</x:v>
      </x:c>
    </x:row>
    <x:row r="10" ht="48.5" customHeight="1">
      <x:c r="A10" s="119" t="s">
        <x:v>189</x:v>
      </x:c>
    </x:row>
    <x:row r="11" ht="32" customHeight="1">
      <x:c r="A11" s="153" t="str">
        <x:v>本研究では、AI利活用の知見として、文脈設計、評価指標、制御条件の選び方、実験運用の四点を整理する。各工程で、AIが提案した判断、人手で確認・修正した事項、うまく機能しなかった条件を研究ノートと実験ログに記録し、成功例だけでなく限界も抽出する。共有時には公開可能な範囲で、設定表、チェックリスト、ログテンプレート、コードやテスト環境の最小例としてまとめる。これによりAI for Scienceコミュニティ内で、GP以外の科学的モデル探索にも状態観測に基づくAI制御を試せる形に展開することを目指す。</x:v>
      </x:c>
      <x:c r="B11" s="117" t="n">
        <x:f>LEN(A11)</x:f>
        <x:v>250</x:v>
      </x:c>
      <x:c r="C11" s="118" t="n">
        <x:f>IF(A11="",0,LEN(TRIM(A11))-LEN(SUBSTITUTE(TRIM(A11)," ",""))+1)</x:f>
        <x:v>3</x:v>
      </x:c>
    </x:row>
    <x:row r="12" ht="37.5" customHeight="1">
      <x:c r="A12" s="119" t="s">
        <x:v>190</x:v>
      </x:c>
    </x:row>
    <x:row r="13" ht="195" customHeight="1">
      <x:c r="A13" s="154" t="str"/>
      <x:c r="B13" s="2"/>
    </x:row>
    <x:row r="14" ht="73.5" customHeight="1">
      <x:c r="A14" s="119" t="s">
        <x:v>191</x:v>
      </x:c>
    </x:row>
    <x:row r="15" ht="16.5" customHeight="1">
      <x:c r="A15" s="155" t="inlineStr">
        <x:is>
          <x:t xml:space="preserve">要確認：本研究課題に関連する学術論文・学会発表・著書を最大5件で記載してください。</x:t>
        </x:is>
      </x:c>
      <x:c r="B15" s="117" t="b">
        <x:f>LEN(A15)-LEN(SUBSTITUTE(A15,CHAR(10),""))+1&lt;=5</x:f>
        <x:v>1</x:v>
      </x:c>
      <x:c r="C15" s="117" t="b">
        <x:f>LEN(A15)-LEN(SUBSTITUTE(A15,CHAR(10),""))+1&lt;=5</x:f>
        <x:v>1</x:v>
      </x:c>
    </x:row>
  </x:sheetData>
  <x:conditionalFormatting sqref="A3:A3">
    <x:cfRule type="expression" dxfId="27" priority="9">
      <x:formula>LEN(A3)&lt;80</x:formula>
    </x:cfRule>
  </x:conditionalFormatting>
  <x:conditionalFormatting sqref="A5:A5">
    <x:cfRule type="expression" dxfId="26" priority="30">
      <x:formula>LEN(A5)&lt;160</x:formula>
    </x:cfRule>
  </x:conditionalFormatting>
  <x:conditionalFormatting sqref="A7:A7">
    <x:cfRule type="expression" dxfId="25" priority="29">
      <x:formula>LEN(A7)&lt;160</x:formula>
    </x:cfRule>
  </x:conditionalFormatting>
  <x:conditionalFormatting sqref="A9:A9">
    <x:cfRule type="expression" dxfId="24" priority="8">
      <x:formula>LEN(A9)&lt;100</x:formula>
    </x:cfRule>
  </x:conditionalFormatting>
  <x:conditionalFormatting sqref="A11:A11">
    <x:cfRule type="expression" dxfId="23" priority="6">
      <x:formula>LEN(A11)&lt;60</x:formula>
    </x:cfRule>
  </x:conditionalFormatting>
  <x:conditionalFormatting sqref="A13:A13">
    <x:cfRule type="expression" dxfId="22" priority="31">
      <x:formula>#REF!=""</x:formula>
    </x:cfRule>
  </x:conditionalFormatting>
  <x:conditionalFormatting sqref="A15:A15">
    <x:cfRule type="expression" dxfId="21" priority="5">
      <x:formula>LEN(A15)&lt;80</x:formula>
    </x:cfRule>
  </x:conditionalFormatting>
  <x:conditionalFormatting sqref="B3:B3">
    <x:cfRule type="expression" dxfId="20" priority="18">
      <x:formula>LEN(A3)&gt;400</x:formula>
    </x:cfRule>
  </x:conditionalFormatting>
  <x:conditionalFormatting sqref="B5:B5">
    <x:cfRule type="expression" dxfId="19" priority="17">
      <x:formula>LEN(A5)&gt;800</x:formula>
    </x:cfRule>
  </x:conditionalFormatting>
  <x:conditionalFormatting sqref="B7:B7">
    <x:cfRule type="expression" dxfId="18" priority="16">
      <x:formula>LEN(A7)&gt;800</x:formula>
    </x:cfRule>
  </x:conditionalFormatting>
  <x:conditionalFormatting sqref="B9:B9">
    <x:cfRule type="expression" dxfId="17" priority="13">
      <x:formula>LEN(A9)&gt;500</x:formula>
    </x:cfRule>
  </x:conditionalFormatting>
  <x:conditionalFormatting sqref="B11:B11">
    <x:cfRule type="expression" dxfId="16" priority="11">
      <x:formula>LEN(A11)&gt;300</x:formula>
    </x:cfRule>
  </x:conditionalFormatting>
  <x:conditionalFormatting sqref="B13:B13">
    <x:cfRule type="expression" dxfId="15" priority="14">
      <x:formula>LEN(A13)&gt;400</x:formula>
    </x:cfRule>
  </x:conditionalFormatting>
  <x:conditionalFormatting sqref="B15:C15">
    <x:cfRule type="expression" dxfId="14" priority="12">
      <x:formula>B15=FALSE</x:formula>
    </x:cfRule>
  </x:conditionalFormatting>
  <x:conditionalFormatting sqref="C3:C3">
    <x:cfRule type="expression" dxfId="13" priority="3">
      <x:formula>C3&gt;240</x:formula>
    </x:cfRule>
  </x:conditionalFormatting>
  <x:conditionalFormatting sqref="C5:C5 C7:C7">
    <x:cfRule type="expression" dxfId="12" priority="4">
      <x:formula>C5&gt;480</x:formula>
    </x:cfRule>
  </x:conditionalFormatting>
  <x:conditionalFormatting sqref="C9:C9">
    <x:cfRule type="expression" dxfId="11" priority="2">
      <x:formula>C9&gt;300</x:formula>
    </x:cfRule>
  </x:conditionalFormatting>
  <x:conditionalFormatting sqref="C11:C11">
    <x:cfRule type="expression" dxfId="10" priority="1">
      <x:formula>C11&gt;180</x:formula>
    </x:cfRule>
  </x:conditionalFormatting>
  <x:pageMargins left="0.7" right="0.7" top="0.75" bottom="0.75" header="0.3" footer="0.3"/>
  <x:drawing xmlns:r="http://schemas.openxmlformats.org/officeDocument/2006/relationships" r:id="R2f478a0c698c41ff"/>
</x:worksheet>
</file>

<file path=xl/worksheets/sheet5.xml><?xml version="1.0" encoding="utf-8"?>
<x:worksheet xmlns:x="http://schemas.openxmlformats.org/spreadsheetml/2006/main">
  <x:sheetFormatPr defaultColWidth="9.140625" defaultRowHeight="13.5"/>
  <x:cols>
    <x:col min="1" max="1" width="17.78515625" style="1" customWidth="1"/>
    <x:col min="2" max="4" width="10.42578125" style="1" customWidth="1"/>
    <x:col min="5" max="5" width="19.42578125" style="1" customWidth="1"/>
    <x:col min="6" max="6" width="16" style="1" customWidth="1"/>
    <x:col min="7" max="7" width="11.42578125" style="1" customWidth="1"/>
    <x:col min="8" max="8" width="22.35546875" style="1" customWidth="1"/>
    <x:col min="9" max="9" width="14.78515625" style="1" customWidth="1"/>
    <x:col min="10" max="16384" width="9.140625" style="2" customWidth="0"/>
  </x:cols>
  <x:sheetData>
    <x:row r="1" s="1" customFormat="1" ht="26.25" customHeight="1">
      <x:c r="A1" s="269" t="s">
        <x:v>192</x:v>
      </x:c>
      <x:c r="B1" s="269"/>
      <x:c r="C1" s="269"/>
      <x:c r="D1" s="269"/>
      <x:c r="E1" s="269"/>
      <x:c r="F1" s="269"/>
      <x:c r="G1" s="269"/>
      <x:c r="H1" s="4"/>
    </x:row>
    <x:row r="2" s="1" customFormat="1" ht="14.149999618530273" customHeight="1">
      <x:c r="A2" s="4" t="s">
        <x:v>193</x:v>
      </x:c>
      <x:c r="B2" s="4"/>
      <x:c r="C2" s="4"/>
      <x:c r="D2" s="4"/>
      <x:c r="E2" s="4"/>
      <x:c r="F2" s="4"/>
      <x:c r="G2" s="4"/>
      <x:c r="H2" s="4"/>
    </x:row>
    <x:row r="3" s="1" customFormat="1" ht="38.25" customHeight="1">
      <x:c r="A3" s="270" t="s">
        <x:v>194</x:v>
      </x:c>
      <x:c r="B3" s="270"/>
      <x:c r="C3" s="270"/>
      <x:c r="D3" s="270"/>
      <x:c r="E3" s="270"/>
      <x:c r="F3" s="270"/>
      <x:c r="G3" s="270"/>
      <x:c r="H3" s="4"/>
    </x:row>
    <x:row r="4" s="1" customFormat="1" ht="16.5">
      <x:c r="A4" s="276" t="s">
        <x:v>195</x:v>
      </x:c>
      <x:c r="B4" s="277"/>
      <x:c r="C4" s="277"/>
      <x:c r="D4" s="277"/>
      <x:c r="E4" s="278"/>
      <x:c r="F4" s="279" t="s">
        <x:v>196</x:v>
      </x:c>
      <x:c r="G4" s="280"/>
      <x:c r="H4" s="3"/>
    </x:row>
    <x:row r="5" s="1" customFormat="1" ht="16.5">
      <x:c r="A5" s="84" t="s">
        <x:v>197</x:v>
      </x:c>
      <x:c r="B5" s="9" t="s">
        <x:v>198</x:v>
      </x:c>
      <x:c r="C5" s="9" t="s">
        <x:v>199</x:v>
      </x:c>
      <x:c r="D5" s="9" t="s">
        <x:v>200</x:v>
      </x:c>
      <x:c r="E5" s="9" t="s">
        <x:v>201</x:v>
      </x:c>
      <x:c r="F5" s="9" t="s">
        <x:v>202</x:v>
      </x:c>
      <x:c r="G5" s="85" t="s">
        <x:v>203</x:v>
      </x:c>
      <x:c r="H5" s="3"/>
    </x:row>
    <x:row r="6" s="1" customFormat="1" ht="16.5">
      <x:c r="A6" s="156"/>
      <x:c r="B6" s="109"/>
      <x:c r="C6" s="109"/>
      <x:c r="D6" s="109"/>
      <x:c r="E6" s="109"/>
      <x:c r="F6" s="157"/>
      <x:c r="G6" s="158"/>
      <x:c r="H6" s="3"/>
    </x:row>
    <x:row r="7" s="1" customFormat="1" ht="16.5">
      <x:c r="A7" s="156"/>
      <x:c r="B7" s="109"/>
      <x:c r="C7" s="109"/>
      <x:c r="D7" s="109"/>
      <x:c r="E7" s="109"/>
      <x:c r="F7" s="159"/>
      <x:c r="G7" s="158"/>
      <x:c r="H7" s="3"/>
    </x:row>
    <x:row r="8" s="1" customFormat="1" ht="16.5">
      <x:c r="A8" s="160"/>
      <x:c r="B8" s="157"/>
      <x:c r="C8" s="157"/>
      <x:c r="D8" s="157"/>
      <x:c r="E8" s="157"/>
      <x:c r="F8" s="157"/>
      <x:c r="G8" s="158"/>
      <x:c r="H8" s="3"/>
    </x:row>
    <x:row r="9" s="1" customFormat="1" ht="16.5">
      <x:c r="A9" s="257"/>
      <x:c r="B9" s="258"/>
      <x:c r="C9" s="259"/>
      <x:c r="D9" s="9" t="s">
        <x:v>182</x:v>
      </x:c>
      <x:c r="E9" s="157"/>
      <x:c r="F9" s="9" t="s">
        <x:v>182</x:v>
      </x:c>
      <x:c r="G9" s="158"/>
      <x:c r="H9" s="3"/>
    </x:row>
    <x:row r="10" s="1" customFormat="1" ht="16.5">
      <x:c r="A10" s="284" t="s">
        <x:v>204</x:v>
      </x:c>
      <x:c r="B10" s="253"/>
      <x:c r="C10" s="253"/>
      <x:c r="D10" s="253"/>
      <x:c r="E10" s="253"/>
      <x:c r="F10" s="253"/>
      <x:c r="G10" s="285"/>
      <x:c r="H10" s="3"/>
    </x:row>
    <x:row r="11" s="1" customFormat="1" ht="16.5">
      <x:c r="A11" s="281" t="inlineStr">
        <x:is>
          <x:t xml:space="preserve">現時点で設備備品費・消耗品費の具体額は資料未記載。必要なソフトウェア、記録媒体、計算環境等は所属機関の調達ルールと見積確認後に確定する。</x:t>
        </x:is>
      </x:c>
      <x:c r="B11" s="282"/>
      <x:c r="C11" s="282"/>
      <x:c r="D11" s="282"/>
      <x:c r="E11" s="282"/>
      <x:c r="F11" s="282"/>
      <x:c r="G11" s="283"/>
      <x:c r="H11" s="5"/>
    </x:row>
    <x:row r="12" s="1" customFormat="1" ht="16.5">
      <x:c r="A12" s="74"/>
      <x:c r="B12" s="74"/>
      <x:c r="C12" s="74"/>
      <x:c r="D12" s="74"/>
      <x:c r="E12" s="74"/>
      <x:c r="F12" s="74"/>
      <x:c r="G12" s="74"/>
      <x:c r="H12" s="3"/>
    </x:row>
    <x:row r="13" s="1" customFormat="1" ht="16.5">
      <x:c r="A13" s="255" t="s">
        <x:v>205</x:v>
      </x:c>
      <x:c r="B13" s="256"/>
      <x:c r="C13" s="255" t="s">
        <x:v>206</x:v>
      </x:c>
      <x:c r="D13" s="256"/>
      <x:c r="E13" s="255" t="s">
        <x:v>207</x:v>
      </x:c>
      <x:c r="F13" s="256"/>
      <x:c r="G13" s="273"/>
      <x:c r="H13" s="3"/>
    </x:row>
    <x:row r="14" s="1" customFormat="1" ht="16.5">
      <x:c r="A14" s="9" t="s">
        <x:v>202</x:v>
      </x:c>
      <x:c r="B14" s="9" t="s">
        <x:v>203</x:v>
      </x:c>
      <x:c r="C14" s="9" t="s">
        <x:v>202</x:v>
      </x:c>
      <x:c r="D14" s="9" t="s">
        <x:v>203</x:v>
      </x:c>
      <x:c r="E14" s="9" t="s">
        <x:v>202</x:v>
      </x:c>
      <x:c r="F14" s="102" t="s">
        <x:v>203</x:v>
      </x:c>
      <x:c r="G14" s="274"/>
      <x:c r="H14" s="6"/>
    </x:row>
    <x:row r="15" s="1" customFormat="1" ht="16.5">
      <x:c r="A15" s="161"/>
      <x:c r="B15" s="161"/>
      <x:c r="C15" s="162"/>
      <x:c r="D15" s="162"/>
      <x:c r="E15" s="157"/>
      <x:c r="F15" s="157"/>
      <x:c r="G15" s="274"/>
      <x:c r="H15" s="6"/>
    </x:row>
    <x:row r="16" s="1" customFormat="1" ht="16.5">
      <x:c r="A16" s="161"/>
      <x:c r="B16" s="161"/>
      <x:c r="C16" s="161"/>
      <x:c r="D16" s="161"/>
      <x:c r="E16" s="163"/>
      <x:c r="F16" s="157"/>
      <x:c r="G16" s="275"/>
      <x:c r="H16" s="3"/>
    </x:row>
    <x:row r="17" s="1" customFormat="1" ht="16.5">
      <x:c r="A17" s="9" t="s">
        <x:v>182</x:v>
      </x:c>
      <x:c r="B17" s="161"/>
      <x:c r="C17" s="9" t="s">
        <x:v>182</x:v>
      </x:c>
      <x:c r="D17" s="161"/>
      <x:c r="E17" s="9" t="s">
        <x:v>182</x:v>
      </x:c>
      <x:c r="F17" s="157"/>
      <x:c r="G17" s="104"/>
      <x:c r="H17" s="3"/>
    </x:row>
    <x:row r="18" s="1" customFormat="1" ht="16.5">
      <x:c r="A18" s="252" t="s">
        <x:v>208</x:v>
      </x:c>
      <x:c r="B18" s="253"/>
      <x:c r="C18" s="253"/>
      <x:c r="D18" s="253"/>
      <x:c r="E18" s="253"/>
      <x:c r="F18" s="253"/>
      <x:c r="G18" s="254"/>
      <x:c r="H18" s="3"/>
    </x:row>
    <x:row r="19" s="1" customFormat="1" ht="16.5">
      <x:c r="A19" s="271" t="inlineStr">
        <x:is>
          <x:t xml:space="preserve">現時点で謝金・旅費の具体額は資料未記載。研究打合せ、成果共有、発表等が必要な場合は、研究遂行上の必要性と所属機関の規程に基づき確定する。</x:t>
        </x:is>
      </x:c>
      <x:c r="B19" s="271"/>
      <x:c r="C19" s="271"/>
      <x:c r="D19" s="271"/>
      <x:c r="E19" s="271"/>
      <x:c r="F19" s="271"/>
      <x:c r="G19" s="272"/>
      <x:c r="H19" s="5"/>
    </x:row>
    <x:row r="20" ht="16.5">
      <x:c r="A20" s="73"/>
      <x:c r="B20" s="73"/>
      <x:c r="C20" s="73"/>
      <x:c r="D20" s="73"/>
      <x:c r="E20" s="73"/>
      <x:c r="F20" s="73"/>
      <x:c r="G20" s="73"/>
    </x:row>
    <x:row r="21" s="1" customFormat="1" ht="13.5" customHeight="1">
      <x:c r="A21" s="255" t="s">
        <x:v>13</x:v>
      </x:c>
      <x:c r="B21" s="256"/>
      <x:c r="C21" s="260" t="s">
        <x:v>209</x:v>
      </x:c>
      <x:c r="D21" s="261"/>
      <x:c r="E21" s="261"/>
      <x:c r="F21" s="261"/>
      <x:c r="G21" s="262"/>
    </x:row>
    <x:row r="22" s="1" customFormat="1" ht="16.5">
      <x:c r="A22" s="9" t="s">
        <x:v>202</x:v>
      </x:c>
      <x:c r="B22" s="9" t="s">
        <x:v>203</x:v>
      </x:c>
      <x:c r="C22" s="263"/>
      <x:c r="D22" s="264"/>
      <x:c r="E22" s="264"/>
      <x:c r="F22" s="264"/>
      <x:c r="G22" s="265"/>
    </x:row>
    <x:row r="23" s="1" customFormat="1" ht="16.5">
      <x:c r="A23" s="157" t="inlineStr">
        <x:is>
          <x:t xml:space="preserve">要確認：計算資源利用料（クラウドGPU、HPCI、学内計算資源等）</x:t>
        </x:is>
      </x:c>
      <x:c r="B23" s="157"/>
      <x:c r="C23" s="263"/>
      <x:c r="D23" s="264"/>
      <x:c r="E23" s="264"/>
      <x:c r="F23" s="264"/>
      <x:c r="G23" s="265"/>
    </x:row>
    <x:row r="24" s="1" customFormat="1" ht="16.5">
      <x:c r="A24" s="163" t="inlineStr">
        <x:is>
          <x:t xml:space="preserve">要確認：API利用料（文献整理、実験ログ要約、補助的解析に利用する場合）</x:t>
        </x:is>
      </x:c>
      <x:c r="B24" s="157"/>
      <x:c r="C24" s="263"/>
      <x:c r="D24" s="264"/>
      <x:c r="E24" s="264"/>
      <x:c r="F24" s="264"/>
      <x:c r="G24" s="265"/>
    </x:row>
    <x:row r="25" s="1" customFormat="1" ht="16.5">
      <x:c r="A25" s="162"/>
      <x:c r="B25" s="162"/>
      <x:c r="C25" s="263"/>
      <x:c r="D25" s="264"/>
      <x:c r="E25" s="264"/>
      <x:c r="F25" s="264"/>
      <x:c r="G25" s="265"/>
    </x:row>
    <x:row r="26" s="1" customFormat="1" ht="16.5">
      <x:c r="A26" s="162"/>
      <x:c r="B26" s="162"/>
      <x:c r="C26" s="263"/>
      <x:c r="D26" s="264"/>
      <x:c r="E26" s="264"/>
      <x:c r="F26" s="264"/>
      <x:c r="G26" s="265"/>
    </x:row>
    <x:row r="27" s="1" customFormat="1" ht="16.5">
      <x:c r="A27" s="9" t="s">
        <x:v>182</x:v>
      </x:c>
      <x:c r="B27" s="161"/>
      <x:c r="C27" s="266"/>
      <x:c r="D27" s="267"/>
      <x:c r="E27" s="267"/>
      <x:c r="F27" s="267"/>
      <x:c r="G27" s="268"/>
    </x:row>
    <x:row r="28" s="1" customFormat="1" ht="16.5">
      <x:c r="A28" s="252" t="s">
        <x:v>210</x:v>
      </x:c>
      <x:c r="B28" s="253"/>
      <x:c r="C28" s="253"/>
      <x:c r="D28" s="253"/>
      <x:c r="E28" s="253"/>
      <x:c r="F28" s="253"/>
      <x:c r="G28" s="254"/>
    </x:row>
    <x:row r="29" s="1" customFormat="1" ht="16.5">
      <x:c r="A29" s="249" t="inlineStr">
        <x:is>
          <x:t xml:space="preserve">本研究では、複数seedのbaseline比較、実GP記号回帰、ablation、評価ログ保存を行うため、計算資源・データ保存・必要に応じたAPI利用環境が必要となる。金額は利用資源、単価、実行回数の見積確認後に確定する。</x:t>
        </x:is>
      </x:c>
      <x:c r="B29" s="249"/>
      <x:c r="C29" s="249"/>
      <x:c r="D29" s="249"/>
      <x:c r="E29" s="249"/>
      <x:c r="F29" s="249"/>
      <x:c r="G29" s="250"/>
      <x:c r="H29" s="7"/>
    </x:row>
    <x:row r="30" s="1" customFormat="1" ht="16.5">
      <x:c r="A30" s="251"/>
      <x:c r="B30" s="251"/>
      <x:c r="C30" s="251"/>
      <x:c r="D30" s="251"/>
      <x:c r="E30" s="251"/>
      <x:c r="F30" s="251"/>
      <x:c r="G30" s="251"/>
      <x:c r="H30" s="7"/>
    </x:row>
  </x:sheetData>
  <x:mergeCells>
    <x:mergeCell ref="A9:C9"/>
    <x:mergeCell ref="C21:G27"/>
    <x:mergeCell ref="A1:G1"/>
    <x:mergeCell ref="A3:G3"/>
    <x:mergeCell ref="A19:G19"/>
    <x:mergeCell ref="A13:B13"/>
    <x:mergeCell ref="C13:D13"/>
    <x:mergeCell ref="E13:F13"/>
    <x:mergeCell ref="G13:G16"/>
    <x:mergeCell ref="A4:E4"/>
    <x:mergeCell ref="F4:G4"/>
    <x:mergeCell ref="A11:G11"/>
    <x:mergeCell ref="A10:G10"/>
    <x:mergeCell ref="A29:G29"/>
    <x:mergeCell ref="A30:G30"/>
    <x:mergeCell ref="A18:G18"/>
    <x:mergeCell ref="A28:G28"/>
    <x:mergeCell ref="A21:B21"/>
  </x:mergeCells>
  <x:conditionalFormatting sqref="A26:A26">
    <x:cfRule type="expression" dxfId="9" priority="7">
      <x:formula>B26=""</x:formula>
    </x:cfRule>
  </x:conditionalFormatting>
  <x:conditionalFormatting sqref="A23:B26 A29:G29">
    <x:cfRule type="expression" dxfId="8" priority="8">
      <x:formula>A23=""</x:formula>
    </x:cfRule>
  </x:conditionalFormatting>
  <x:conditionalFormatting sqref="A6:G8 A11:G11 A15:F16 A19:G19">
    <x:cfRule type="expression" dxfId="7" priority="9">
      <x:formula>A6=""</x:formula>
    </x:cfRule>
  </x:conditionalFormatting>
  <x:conditionalFormatting sqref="B17:B17">
    <x:cfRule type="expression" dxfId="6" priority="4">
      <x:formula>B17=""</x:formula>
    </x:cfRule>
  </x:conditionalFormatting>
  <x:conditionalFormatting sqref="B27:B27">
    <x:cfRule type="expression" dxfId="5" priority="1">
      <x:formula>B27=""</x:formula>
    </x:cfRule>
  </x:conditionalFormatting>
  <x:conditionalFormatting sqref="D17:D17">
    <x:cfRule type="expression" dxfId="4" priority="3">
      <x:formula>D17=""</x:formula>
    </x:cfRule>
  </x:conditionalFormatting>
  <x:conditionalFormatting sqref="E9:E9">
    <x:cfRule type="expression" dxfId="3" priority="6">
      <x:formula>E9=""</x:formula>
    </x:cfRule>
  </x:conditionalFormatting>
  <x:conditionalFormatting sqref="F17:F17">
    <x:cfRule type="expression" dxfId="2" priority="2">
      <x:formula>F17=""</x:formula>
    </x:cfRule>
  </x:conditionalFormatting>
  <x:conditionalFormatting sqref="G9:G9">
    <x:cfRule type="expression" dxfId="1" priority="5">
      <x:formula>G9=""</x:formula>
    </x:cfRule>
  </x:conditionalFormatting>
  <x:dataValidations count="1">
    <x:dataValidation type="whole" operator="greaterThan" allowBlank="1" showInputMessage="1" showErrorMessage="1" sqref="B15:B17 G6:G9 D15:D17 F15:F17 E9 C6:E8 B23:B27">
      <x:formula1>0</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3" max="3" width="20.42578125" customWidth="1"/>
    <x:col min="5" max="5" width="37.640625" customWidth="1"/>
  </x:cols>
  <x:sheetData>
    <x:row r="1" ht="14" customHeight="1">
      <x:c r="A1" s="286" t="s">
        <x:v>211</x:v>
      </x:c>
      <x:c r="B1" s="286"/>
      <x:c r="C1" s="286"/>
      <x:c r="D1" s="286"/>
      <x:c r="E1" s="286"/>
    </x:row>
    <x:row r="3" s="2" customFormat="1" ht="13">
      <x:c r="A3" s="287" t="s">
        <x:v>212</x:v>
      </x:c>
      <x:c r="B3" s="288"/>
      <x:c r="C3" s="288"/>
      <x:c r="D3" s="288"/>
      <x:c r="E3" s="289"/>
    </x:row>
    <x:row r="4" s="2" customFormat="1" ht="13">
      <x:c r="A4" s="86"/>
      <x:c r="B4" s="9" t="s">
        <x:v>213</x:v>
      </x:c>
      <x:c r="C4" s="9" t="s">
        <x:v>201</x:v>
      </x:c>
      <x:c r="D4" s="290" t="s">
        <x:v>214</x:v>
      </x:c>
      <x:c r="E4" s="254"/>
    </x:row>
    <x:row r="5" s="2" customFormat="1" ht="13">
      <x:c r="A5" s="167">
        <x:v>1</x:v>
      </x:c>
      <x:c r="B5" s="157" t="inlineStr">
        <x:is>
          <x:t xml:space="preserve">要確認：文献整理・実験ログ要約・補助的解析で利用するAI/API</x:t>
        </x:is>
      </x:c>
      <x:c r="C5" s="157"/>
      <x:c r="D5" s="291" t="inlineStr">
        <x:is>
          <x:t xml:space="preserve">利用するAPI名、1回あたりの入出力量、単価、試行回数、再実行率を確認後に記載する。</x:t>
        </x:is>
      </x:c>
      <x:c r="E5" s="292"/>
    </x:row>
    <x:row r="6" s="2" customFormat="1" ht="13">
      <x:c r="A6" s="167">
        <x:v>2</x:v>
      </x:c>
      <x:c r="B6" s="157"/>
      <x:c r="C6" s="157"/>
      <x:c r="D6" s="291"/>
      <x:c r="E6" s="292"/>
    </x:row>
    <x:row r="7" s="2" customFormat="1" ht="13">
      <x:c r="A7" s="167">
        <x:v>3</x:v>
      </x:c>
      <x:c r="B7" s="157"/>
      <x:c r="C7" s="157"/>
      <x:c r="D7" s="291"/>
      <x:c r="E7" s="292"/>
    </x:row>
    <x:row r="8" s="2" customFormat="1" ht="13">
      <x:c r="A8" s="167">
        <x:v>4</x:v>
      </x:c>
      <x:c r="B8" s="157"/>
      <x:c r="C8" s="157"/>
      <x:c r="D8" s="291"/>
      <x:c r="E8" s="292"/>
    </x:row>
    <x:row r="9" s="2" customFormat="1" ht="13">
      <x:c r="A9" s="167">
        <x:v>5</x:v>
      </x:c>
      <x:c r="B9" s="157"/>
      <x:c r="C9" s="157"/>
      <x:c r="D9" s="293"/>
      <x:c r="E9" s="294"/>
    </x:row>
    <x:row r="10" s="2" customFormat="1" ht="13">
      <x:c r="A10" s="167">
        <x:v>6</x:v>
      </x:c>
      <x:c r="B10" s="157"/>
      <x:c r="C10" s="157"/>
      <x:c r="D10" s="293"/>
      <x:c r="E10" s="294"/>
    </x:row>
    <x:row r="11" s="2" customFormat="1" ht="13">
      <x:c r="A11" s="167">
        <x:v>7</x:v>
      </x:c>
      <x:c r="B11" s="157"/>
      <x:c r="C11" s="157"/>
      <x:c r="D11" s="293"/>
      <x:c r="E11" s="294"/>
    </x:row>
    <x:row r="12" s="2" customFormat="1" ht="13">
      <x:c r="A12" s="167">
        <x:v>8</x:v>
      </x:c>
      <x:c r="B12" s="157"/>
      <x:c r="C12" s="157"/>
      <x:c r="D12" s="293"/>
      <x:c r="E12" s="294"/>
    </x:row>
    <x:row r="13" s="2" customFormat="1" ht="13">
      <x:c r="A13" s="167">
        <x:v>9</x:v>
      </x:c>
      <x:c r="B13" s="157"/>
      <x:c r="C13" s="157"/>
      <x:c r="D13" s="291"/>
      <x:c r="E13" s="292"/>
    </x:row>
    <x:row r="14" s="2" customFormat="1" ht="13.5">
      <x:c r="A14" s="168">
        <x:v>10</x:v>
      </x:c>
      <x:c r="B14" s="164"/>
      <x:c r="C14" s="164"/>
      <x:c r="D14" s="214"/>
      <x:c r="E14" s="216"/>
    </x:row>
    <x:row r="15" s="2" customFormat="1" ht="17">
      <x:c r="A15" s="73"/>
      <x:c r="B15" s="73"/>
      <x:c r="C15" s="73"/>
      <x:c r="D15" s="73"/>
      <x:c r="E15" s="73"/>
    </x:row>
    <x:row r="16" s="2" customFormat="1" ht="13">
      <x:c r="A16" s="287" t="s">
        <x:v>215</x:v>
      </x:c>
      <x:c r="B16" s="288"/>
      <x:c r="C16" s="288"/>
      <x:c r="D16" s="288"/>
      <x:c r="E16" s="289"/>
    </x:row>
    <x:row r="17" s="2" customFormat="1" ht="13">
      <x:c r="A17" s="86"/>
      <x:c r="B17" s="9" t="s">
        <x:v>216</x:v>
      </x:c>
      <x:c r="C17" s="9" t="s">
        <x:v>217</x:v>
      </x:c>
      <x:c r="D17" s="9" t="s">
        <x:v>201</x:v>
      </x:c>
      <x:c r="E17" s="10" t="s">
        <x:v>218</x:v>
      </x:c>
    </x:row>
    <x:row r="18" s="2" customFormat="1" ht="13">
      <x:c r="A18" s="167">
        <x:v>1</x:v>
      </x:c>
      <x:c r="B18" s="157" t="inlineStr">
        <x:is>
          <x:t xml:space="preserve">要確認：クラウドGPU、HPCI、または学内計算資源</x:t>
        </x:is>
      </x:c>
      <x:c r="C18" s="157" t="inlineStr">
        <x:is>
          <x:t xml:space="preserve">toy engine比較、実GP記号回帰、複数seed・ablationを同一条件で実行し、探索性能と計算コストを評価するため。</x:t>
        </x:is>
      </x:c>
      <x:c r="D18" s="157"/>
      <x:c r="E18" s="165" t="inlineStr">
        <x:is>
          <x:t xml:space="preserve">利用するGPU/CPU種別、実行時間、seed数、ablation条件数、単価を確認後に算定する。</x:t>
        </x:is>
      </x:c>
    </x:row>
    <x:row r="19" s="2" customFormat="1" ht="13">
      <x:c r="A19" s="167">
        <x:v>2</x:v>
      </x:c>
      <x:c r="B19" s="157"/>
      <x:c r="C19" s="157"/>
      <x:c r="D19" s="157"/>
      <x:c r="E19" s="165"/>
    </x:row>
    <x:row r="20" s="2" customFormat="1" ht="13">
      <x:c r="A20" s="167">
        <x:v>3</x:v>
      </x:c>
      <x:c r="B20" s="157"/>
      <x:c r="C20" s="157"/>
      <x:c r="D20" s="157"/>
      <x:c r="E20" s="165"/>
    </x:row>
    <x:row r="21" s="2" customFormat="1" ht="13">
      <x:c r="A21" s="167">
        <x:v>4</x:v>
      </x:c>
      <x:c r="B21" s="157"/>
      <x:c r="C21" s="157"/>
      <x:c r="D21" s="157"/>
      <x:c r="E21" s="165"/>
    </x:row>
    <x:row r="22" s="2" customFormat="1" ht="13">
      <x:c r="A22" s="167">
        <x:v>5</x:v>
      </x:c>
      <x:c r="B22" s="157"/>
      <x:c r="C22" s="157"/>
      <x:c r="D22" s="157"/>
      <x:c r="E22" s="165"/>
    </x:row>
    <x:row r="23" s="2" customFormat="1" ht="13">
      <x:c r="A23" s="167">
        <x:v>6</x:v>
      </x:c>
      <x:c r="B23" s="157"/>
      <x:c r="C23" s="157"/>
      <x:c r="D23" s="157"/>
      <x:c r="E23" s="165"/>
    </x:row>
    <x:row r="24" s="2" customFormat="1" ht="13">
      <x:c r="A24" s="167">
        <x:v>7</x:v>
      </x:c>
      <x:c r="B24" s="157"/>
      <x:c r="C24" s="157"/>
      <x:c r="D24" s="157"/>
      <x:c r="E24" s="165"/>
    </x:row>
    <x:row r="25" s="2" customFormat="1" ht="13">
      <x:c r="A25" s="167">
        <x:v>8</x:v>
      </x:c>
      <x:c r="B25" s="157"/>
      <x:c r="C25" s="157"/>
      <x:c r="D25" s="157"/>
      <x:c r="E25" s="165"/>
    </x:row>
    <x:row r="26" s="2" customFormat="1" ht="13">
      <x:c r="A26" s="167">
        <x:v>9</x:v>
      </x:c>
      <x:c r="B26" s="157"/>
      <x:c r="C26" s="157"/>
      <x:c r="D26" s="157"/>
      <x:c r="E26" s="165"/>
    </x:row>
    <x:row r="27" s="2" customFormat="1" ht="13">
      <x:c r="A27" s="168">
        <x:v>10</x:v>
      </x:c>
      <x:c r="B27" s="164"/>
      <x:c r="C27" s="164"/>
      <x:c r="D27" s="164"/>
      <x:c r="E27" s="166"/>
    </x:row>
    <x:row r="28" s="2" customFormat="1" ht="16.5">
      <x:c r="A28" s="1"/>
      <x:c r="B28" s="1"/>
      <x:c r="C28" s="1"/>
      <x:c r="D28" s="1"/>
      <x:c r="E28" s="1"/>
    </x:row>
  </x:sheetData>
  <x:mergeCells>
    <x:mergeCell ref="A1:E1"/>
    <x:mergeCell ref="A16:E16"/>
    <x:mergeCell ref="A3:E3"/>
    <x:mergeCell ref="D4:E4"/>
    <x:mergeCell ref="D5:E5"/>
    <x:mergeCell ref="D6:E6"/>
    <x:mergeCell ref="D7:E7"/>
    <x:mergeCell ref="D8:E8"/>
    <x:mergeCell ref="D13:E13"/>
    <x:mergeCell ref="D14:E14"/>
    <x:mergeCell ref="D9:E9"/>
    <x:mergeCell ref="D10:E10"/>
    <x:mergeCell ref="D11:E11"/>
    <x:mergeCell ref="D12:E12"/>
  </x:mergeCells>
  <x:conditionalFormatting sqref="B5:D14 B18:E27">
    <x:cfRule type="expression" dxfId="0" priority="2">
      <x:formula>B5=""</x:formula>
    </x:cfRule>
  </x:conditionalFormatting>
  <x:dataValidations count="1">
    <x:dataValidation type="whole" operator="greaterThan" allowBlank="1" showInputMessage="1" showErrorMessage="1" sqref="C5:C14 D18:D27">
      <x:formula1>0</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sheetData>
    <x:row r="1">
      <x:c r="A1" s="35" t="s">
        <x:v>219</x:v>
      </x:c>
    </x:row>
    <x:row r="2" s="12" customFormat="1" ht="40.5" customHeight="1">
      <x:c r="A2" s="295" t="s">
        <x:v>220</x:v>
      </x:c>
      <x:c r="B2" s="295"/>
      <x:c r="C2" s="295"/>
      <x:c r="D2" s="295"/>
      <x:c r="E2" s="295"/>
      <x:c r="F2" s="295"/>
      <x:c r="G2" s="295"/>
      <x:c r="H2" s="295"/>
      <x:c r="I2" s="295"/>
      <x:c r="J2" s="295"/>
      <x:c r="K2" s="295"/>
    </x:row>
    <x:row r="3">
      <x:c r="A3" s="169">
        <x:v>0</x:v>
      </x:c>
      <x:c r="B3" s="89" t="s">
        <x:v>221</x:v>
      </x:c>
    </x:row>
    <x:row r="4">
      <x:c r="A4" s="296" t="inlineStr">
        <x:is>
          <x:t xml:space="preserve">要確認：AIインタビュー完了メールのスクリーンショットを貼付。メールアドレス一致を確認。</x:t>
        </x:is>
      </x:c>
      <x:c r="B4" s="297"/>
      <x:c r="C4" s="297"/>
      <x:c r="D4" s="297"/>
      <x:c r="E4" s="297"/>
      <x:c r="F4" s="297"/>
      <x:c r="G4" s="297"/>
      <x:c r="H4" s="297"/>
      <x:c r="I4" s="297"/>
      <x:c r="J4" s="297"/>
      <x:c r="K4" s="298"/>
    </x:row>
    <x:row r="5">
      <x:c r="A5" s="299"/>
      <x:c r="B5" s="300"/>
      <x:c r="C5" s="300"/>
      <x:c r="D5" s="300"/>
      <x:c r="E5" s="300"/>
      <x:c r="F5" s="300"/>
      <x:c r="G5" s="300"/>
      <x:c r="H5" s="300"/>
      <x:c r="I5" s="300"/>
      <x:c r="J5" s="300"/>
      <x:c r="K5" s="301"/>
    </x:row>
    <x:row r="6">
      <x:c r="A6" s="299"/>
      <x:c r="B6" s="300"/>
      <x:c r="C6" s="300"/>
      <x:c r="D6" s="300"/>
      <x:c r="E6" s="300"/>
      <x:c r="F6" s="300"/>
      <x:c r="G6" s="300"/>
      <x:c r="H6" s="300"/>
      <x:c r="I6" s="300"/>
      <x:c r="J6" s="300"/>
      <x:c r="K6" s="301"/>
    </x:row>
    <x:row r="7">
      <x:c r="A7" s="299"/>
      <x:c r="B7" s="300"/>
      <x:c r="C7" s="300"/>
      <x:c r="D7" s="300"/>
      <x:c r="E7" s="300"/>
      <x:c r="F7" s="300"/>
      <x:c r="G7" s="300"/>
      <x:c r="H7" s="300"/>
      <x:c r="I7" s="300"/>
      <x:c r="J7" s="300"/>
      <x:c r="K7" s="301"/>
    </x:row>
    <x:row r="8">
      <x:c r="A8" s="299"/>
      <x:c r="B8" s="300"/>
      <x:c r="C8" s="300"/>
      <x:c r="D8" s="300"/>
      <x:c r="E8" s="300"/>
      <x:c r="F8" s="300"/>
      <x:c r="G8" s="300"/>
      <x:c r="H8" s="300"/>
      <x:c r="I8" s="300"/>
      <x:c r="J8" s="300"/>
      <x:c r="K8" s="301"/>
    </x:row>
    <x:row r="9">
      <x:c r="A9" s="299"/>
      <x:c r="B9" s="300"/>
      <x:c r="C9" s="300"/>
      <x:c r="D9" s="300"/>
      <x:c r="E9" s="300"/>
      <x:c r="F9" s="300"/>
      <x:c r="G9" s="300"/>
      <x:c r="H9" s="300"/>
      <x:c r="I9" s="300"/>
      <x:c r="J9" s="300"/>
      <x:c r="K9" s="301"/>
    </x:row>
    <x:row r="10">
      <x:c r="A10" s="299"/>
      <x:c r="B10" s="300"/>
      <x:c r="C10" s="300"/>
      <x:c r="D10" s="300"/>
      <x:c r="E10" s="300"/>
      <x:c r="F10" s="300"/>
      <x:c r="G10" s="300"/>
      <x:c r="H10" s="300"/>
      <x:c r="I10" s="300"/>
      <x:c r="J10" s="300"/>
      <x:c r="K10" s="301"/>
    </x:row>
    <x:row r="11">
      <x:c r="A11" s="299"/>
      <x:c r="B11" s="300"/>
      <x:c r="C11" s="300"/>
      <x:c r="D11" s="300"/>
      <x:c r="E11" s="300"/>
      <x:c r="F11" s="300"/>
      <x:c r="G11" s="300"/>
      <x:c r="H11" s="300"/>
      <x:c r="I11" s="300"/>
      <x:c r="J11" s="300"/>
      <x:c r="K11" s="301"/>
    </x:row>
    <x:row r="12">
      <x:c r="A12" s="299"/>
      <x:c r="B12" s="300"/>
      <x:c r="C12" s="300"/>
      <x:c r="D12" s="300"/>
      <x:c r="E12" s="300"/>
      <x:c r="F12" s="300"/>
      <x:c r="G12" s="300"/>
      <x:c r="H12" s="300"/>
      <x:c r="I12" s="300"/>
      <x:c r="J12" s="300"/>
      <x:c r="K12" s="301"/>
    </x:row>
    <x:row r="13">
      <x:c r="A13" s="299"/>
      <x:c r="B13" s="300"/>
      <x:c r="C13" s="300"/>
      <x:c r="D13" s="300"/>
      <x:c r="E13" s="300"/>
      <x:c r="F13" s="300"/>
      <x:c r="G13" s="300"/>
      <x:c r="H13" s="300"/>
      <x:c r="I13" s="300"/>
      <x:c r="J13" s="300"/>
      <x:c r="K13" s="301"/>
    </x:row>
    <x:row r="14">
      <x:c r="A14" s="299"/>
      <x:c r="B14" s="300"/>
      <x:c r="C14" s="300"/>
      <x:c r="D14" s="300"/>
      <x:c r="E14" s="300"/>
      <x:c r="F14" s="300"/>
      <x:c r="G14" s="300"/>
      <x:c r="H14" s="300"/>
      <x:c r="I14" s="300"/>
      <x:c r="J14" s="300"/>
      <x:c r="K14" s="301"/>
    </x:row>
    <x:row r="15">
      <x:c r="A15" s="299"/>
      <x:c r="B15" s="300"/>
      <x:c r="C15" s="300"/>
      <x:c r="D15" s="300"/>
      <x:c r="E15" s="300"/>
      <x:c r="F15" s="300"/>
      <x:c r="G15" s="300"/>
      <x:c r="H15" s="300"/>
      <x:c r="I15" s="300"/>
      <x:c r="J15" s="300"/>
      <x:c r="K15" s="301"/>
    </x:row>
    <x:row r="16">
      <x:c r="A16" s="299"/>
      <x:c r="B16" s="300"/>
      <x:c r="C16" s="300"/>
      <x:c r="D16" s="300"/>
      <x:c r="E16" s="300"/>
      <x:c r="F16" s="300"/>
      <x:c r="G16" s="300"/>
      <x:c r="H16" s="300"/>
      <x:c r="I16" s="300"/>
      <x:c r="J16" s="300"/>
      <x:c r="K16" s="301"/>
    </x:row>
    <x:row r="17">
      <x:c r="A17" s="299"/>
      <x:c r="B17" s="300"/>
      <x:c r="C17" s="300"/>
      <x:c r="D17" s="300"/>
      <x:c r="E17" s="300"/>
      <x:c r="F17" s="300"/>
      <x:c r="G17" s="300"/>
      <x:c r="H17" s="300"/>
      <x:c r="I17" s="300"/>
      <x:c r="J17" s="300"/>
      <x:c r="K17" s="301"/>
    </x:row>
    <x:row r="18">
      <x:c r="A18" s="299"/>
      <x:c r="B18" s="300"/>
      <x:c r="C18" s="300"/>
      <x:c r="D18" s="300"/>
      <x:c r="E18" s="300"/>
      <x:c r="F18" s="300"/>
      <x:c r="G18" s="300"/>
      <x:c r="H18" s="300"/>
      <x:c r="I18" s="300"/>
      <x:c r="J18" s="300"/>
      <x:c r="K18" s="301"/>
    </x:row>
    <x:row r="19">
      <x:c r="A19" s="299"/>
      <x:c r="B19" s="300"/>
      <x:c r="C19" s="300"/>
      <x:c r="D19" s="300"/>
      <x:c r="E19" s="300"/>
      <x:c r="F19" s="300"/>
      <x:c r="G19" s="300"/>
      <x:c r="H19" s="300"/>
      <x:c r="I19" s="300"/>
      <x:c r="J19" s="300"/>
      <x:c r="K19" s="301"/>
    </x:row>
    <x:row r="20">
      <x:c r="A20" s="299"/>
      <x:c r="B20" s="300"/>
      <x:c r="C20" s="300"/>
      <x:c r="D20" s="300"/>
      <x:c r="E20" s="300"/>
      <x:c r="F20" s="300"/>
      <x:c r="G20" s="300"/>
      <x:c r="H20" s="300"/>
      <x:c r="I20" s="300"/>
      <x:c r="J20" s="300"/>
      <x:c r="K20" s="301"/>
    </x:row>
    <x:row r="21">
      <x:c r="A21" s="299"/>
      <x:c r="B21" s="300"/>
      <x:c r="C21" s="300"/>
      <x:c r="D21" s="300"/>
      <x:c r="E21" s="300"/>
      <x:c r="F21" s="300"/>
      <x:c r="G21" s="300"/>
      <x:c r="H21" s="300"/>
      <x:c r="I21" s="300"/>
      <x:c r="J21" s="300"/>
      <x:c r="K21" s="301"/>
    </x:row>
    <x:row r="22" ht="15.5">
      <x:c r="A22" s="302"/>
      <x:c r="B22" s="303"/>
      <x:c r="C22" s="303"/>
      <x:c r="D22" s="303"/>
      <x:c r="E22" s="303"/>
      <x:c r="F22" s="303"/>
      <x:c r="G22" s="303"/>
      <x:c r="H22" s="303"/>
      <x:c r="I22" s="303"/>
      <x:c r="J22" s="303"/>
      <x:c r="K22" s="304"/>
    </x:row>
    <x:row r="24">
      <x:c r="A24" s="12" t="s">
        <x:v>222</x:v>
      </x:c>
    </x:row>
    <x:row r="25">
      <x:c r="A25" s="12"/>
      <x:c r="G25" s="12"/>
    </x:row>
    <x:row r="27" ht="18">
      <x:c r="A27" s="75"/>
    </x:row>
  </x:sheetData>
  <x:mergeCells>
    <x:mergeCell ref="A2:K2"/>
    <x:mergeCell ref="A4:K22"/>
  </x:mergeCells>
  <x:pageMargins left="0.7" right="0.7" top="0.75" bottom="0.75" header="0.3" footer="0.3"/>
  <x:drawing xmlns:r="http://schemas.openxmlformats.org/officeDocument/2006/relationships" r:id="Ra2d335e834c34a3b"/>
</x:worksheet>
</file>

<file path=xl/worksheets/sheet8.xml><?xml version="1.0" encoding="utf-8"?>
<x:worksheet xmlns:x="http://schemas.openxmlformats.org/spreadsheetml/2006/main">
  <x:sheetFormatPr defaultColWidth="9.140625" defaultRowHeight="13"/>
  <x:cols>
    <x:col min="1" max="1" width="28.85546875" style="2" customWidth="1"/>
    <x:col min="2" max="2" width="24.2109375" style="2" customWidth="1"/>
    <x:col min="3" max="16384" width="9.140625" style="2" customWidth="0"/>
  </x:cols>
  <x:sheetData>
    <x:row r="1">
      <x:c r="A1" s="8" t="s">
        <x:v>16</x:v>
      </x:c>
      <x:c r="B1" s="8" t="s">
        <x:v>223</x:v>
      </x:c>
      <x:c r="C1" s="38" t="s">
        <x:v>148</x:v>
      </x:c>
    </x:row>
    <x:row r="2">
      <x:c r="A2" s="3" t="s">
        <x:v>19</x:v>
      </x:c>
      <x:c r="B2" s="3" t="s">
        <x:v>224</x:v>
      </x:c>
      <x:c r="C2" s="39" t="s">
        <x:v>225</x:v>
      </x:c>
    </x:row>
    <x:row r="3">
      <x:c r="A3" s="3" t="s">
        <x:v>22</x:v>
      </x:c>
      <x:c r="B3" s="3" t="s">
        <x:v>226</x:v>
      </x:c>
      <x:c r="C3" s="11" t="s">
        <x:v>227</x:v>
      </x:c>
    </x:row>
    <x:row r="4">
      <x:c r="A4" s="3" t="s">
        <x:v>25</x:v>
      </x:c>
      <x:c r="B4" s="3" t="s">
        <x:v>228</x:v>
      </x:c>
      <x:c r="C4" s="39" t="s">
        <x:v>229</x:v>
      </x:c>
    </x:row>
    <x:row r="5">
      <x:c r="A5" s="3" t="s">
        <x:v>28</x:v>
      </x:c>
      <x:c r="B5" s="3" t="s">
        <x:v>230</x:v>
      </x:c>
      <x:c r="C5" s="39" t="s">
        <x:v>231</x:v>
      </x:c>
    </x:row>
    <x:row r="6">
      <x:c r="A6" s="3" t="s">
        <x:v>31</x:v>
      </x:c>
      <x:c r="B6" s="3" t="s">
        <x:v>232</x:v>
      </x:c>
      <x:c r="C6" s="39" t="s">
        <x:v>233</x:v>
      </x:c>
    </x:row>
    <x:row r="7">
      <x:c r="A7" s="3" t="s">
        <x:v>34</x:v>
      </x:c>
      <x:c r="B7" s="3" t="s">
        <x:v>234</x:v>
      </x:c>
      <x:c r="C7" s="39" t="s">
        <x:v>235</x:v>
      </x:c>
    </x:row>
    <x:row r="8">
      <x:c r="A8" s="3" t="s">
        <x:v>37</x:v>
      </x:c>
      <x:c r="B8" s="3" t="s">
        <x:v>236</x:v>
      </x:c>
      <x:c r="C8" s="39" t="s">
        <x:v>237</x:v>
      </x:c>
    </x:row>
    <x:row r="9">
      <x:c r="A9" s="3" t="s">
        <x:v>40</x:v>
      </x:c>
      <x:c r="B9" s="3" t="s">
        <x:v>238</x:v>
      </x:c>
      <x:c r="C9" s="39" t="s">
        <x:v>239</x:v>
      </x:c>
    </x:row>
    <x:row r="10">
      <x:c r="A10" s="3" t="s">
        <x:v>43</x:v>
      </x:c>
      <x:c r="B10" s="3" t="s">
        <x:v>240</x:v>
      </x:c>
      <x:c r="C10" s="39" t="s">
        <x:v>241</x:v>
      </x:c>
    </x:row>
    <x:row r="11">
      <x:c r="A11" s="3" t="s">
        <x:v>46</x:v>
      </x:c>
      <x:c r="B11" s="3"/>
      <x:c r="C11" s="39" t="s">
        <x:v>13</x:v>
      </x:c>
    </x:row>
    <x:row r="12">
      <x:c r="A12" s="11"/>
    </x:row>
    <x:row r="14">
      <x:c r="A14" s="11"/>
    </x:row>
    <x:row r="15">
      <x:c r="A15" s="11"/>
    </x:row>
    <x:row r="16">
      <x:c r="A16" s="11"/>
    </x:row>
  </x:sheetData>
  <x:pageMargins left="0.7" right="0.7" top="0.75" bottom="0.75" header="0.3" footer="0.3"/>
</x:worksheet>
</file>